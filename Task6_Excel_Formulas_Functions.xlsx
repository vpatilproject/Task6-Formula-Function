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a_Demo" sheetId="1" state="visible" r:id="rId3"/>
    <sheet name="Data" sheetId="2" state="visible" r:id="rId4"/>
    <sheet name="Lookups" sheetId="3" state="visible" r:id="rId5"/>
    <sheet name="Notes" sheetId="4" state="visible" r:id="rId6"/>
  </sheets>
  <definedNames>
    <definedName function="false" hidden="true" localSheetId="1" name="_xlnm._FilterDatabase" vbProcedure="false">Data!$A$1:$X$501</definedName>
    <definedName function="false" hidden="false" name="Category" vbProcedure="false">Data!$I$2:$I$501</definedName>
    <definedName function="false" hidden="false" name="City" vbProcedure="false">Data!$E$2:$E$501</definedName>
    <definedName function="false" hidden="false" name="Discount" vbProcedure="false">Data!$M$2:$M$501</definedName>
    <definedName function="false" hidden="false" name="OrderRegion" vbProcedure="false">Data!$H$2:$H$501</definedName>
    <definedName function="false" hidden="false" name="ProfitAmt" vbProcedure="false">Data!$N$2:$N$501</definedName>
    <definedName function="false" hidden="false" name="Qty" vbProcedure="false">Data!$L$2:$L$501</definedName>
    <definedName function="false" hidden="false" name="SalesAmt" vbProcedure="false">Data!$K$2:$K$501</definedName>
    <definedName function="false" hidden="false" name="Segment" vbProcedure="false">Data!$C$2:$C$501</definedName>
    <definedName function="false" hidden="false" name="ShipMode" vbProcedure="false">Data!$B$2:$B$501</definedName>
    <definedName function="false" hidden="false" name="State" vbProcedure="false">Data!$F$2:$F$501</definedName>
    <definedName function="false" hidden="false" name="StateList" vbProcedure="false">Lookups!$A$2:$A$50</definedName>
    <definedName function="false" hidden="false" name="StateRegion" vbProcedure="false">Lookups!$B$2:$B$50</definedName>
    <definedName function="false" hidden="false" name="SubCat" vbProcedure="false">Data!$J$2:$J$501</definedName>
    <definedName function="false" hidden="false" name="SubCatCat" vbProcedure="false">Lookups!$E$2:$E$18</definedName>
    <definedName function="false" hidden="false" name="SubCatName" vbProcedure="false">Lookups!$D$2:$D$18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<sst xmlns="http://schemas.openxmlformats.org/spreadsheetml/2006/main" count="4320" uniqueCount="377">
  <si>
    <t xml:space="preserve">Formula Demo – each function on live Sample Superstore data (change yellow inputs)</t>
  </si>
  <si>
    <t xml:space="preserve">Data tab = first 500 rows of the real Sample Superstore dataset. Column C shows the formula used.</t>
  </si>
  <si>
    <t xml:space="preserve">Input: Region</t>
  </si>
  <si>
    <t xml:space="preserve">West</t>
  </si>
  <si>
    <t xml:space="preserve">Input: Category</t>
  </si>
  <si>
    <t xml:space="preserve">Technology</t>
  </si>
  <si>
    <t xml:space="preserve">Input: Segment</t>
  </si>
  <si>
    <t xml:space="preserve">Consumer</t>
  </si>
  <si>
    <t xml:space="preserve">Input: State</t>
  </si>
  <si>
    <t xml:space="preserve">California</t>
  </si>
  <si>
    <t xml:space="preserve">Input: Sub-Category</t>
  </si>
  <si>
    <t xml:space="preserve">Phones</t>
  </si>
  <si>
    <t xml:space="preserve">1. SUMIF vs SUMIFS</t>
  </si>
  <si>
    <t xml:space="preserve">SUMIF – sales for region</t>
  </si>
  <si>
    <t xml:space="preserve">SUMIF(OrderRegion,B3,SalesAmt)</t>
  </si>
  <si>
    <t xml:space="preserve">SUMIFS – region + category</t>
  </si>
  <si>
    <t xml:space="preserve">SUMIFS(SalesAmt,OrderRegion,B3,Category,B4)</t>
  </si>
  <si>
    <t xml:space="preserve">SUMIFS – region + category + segment</t>
  </si>
  <si>
    <t xml:space="preserve">SUMIFS(SalesAmt,OrderRegion,B3,Category,B4,Segment,B5)</t>
  </si>
  <si>
    <t xml:space="preserve">SUMIFS – with operator: discount &gt; 30%</t>
  </si>
  <si>
    <t xml:space="preserve">SUMIFS(SalesAmt,OrderRegion,B3,Discount,"&gt;0.3")</t>
  </si>
  <si>
    <t xml:space="preserve">SUMIFS – total loss (profit &lt; 0) in region</t>
  </si>
  <si>
    <t xml:space="preserve">SUMIFS(ProfitAmt,OrderRegion,B3,ProfitAmt,"&lt;0")</t>
  </si>
  <si>
    <t xml:space="preserve">2. COUNTIF / COUNTIFS / AVERAGEIFS</t>
  </si>
  <si>
    <t xml:space="preserve">COUNTIF – rows in region</t>
  </si>
  <si>
    <t xml:space="preserve">COUNTIF(OrderRegion,B3)</t>
  </si>
  <si>
    <t xml:space="preserve">COUNTIFS – region + category</t>
  </si>
  <si>
    <t xml:space="preserve">COUNTIFS(OrderRegion,B3,Category,B4)</t>
  </si>
  <si>
    <t xml:space="preserve">COUNTIF wildcard – cities starting with "San"</t>
  </si>
  <si>
    <t xml:space="preserve">COUNTIF(City,"San*")</t>
  </si>
  <si>
    <t xml:space="preserve">COUNTIF – discount of 40% or more</t>
  </si>
  <si>
    <t xml:space="preserve">COUNTIF(Discount,"&gt;=0.4")</t>
  </si>
  <si>
    <t xml:space="preserve">AVERAGEIFS – avg sales (region + category)</t>
  </si>
  <si>
    <t xml:space="preserve">IFERROR(AVERAGEIFS(SalesAmt,OrderRegion,B3,Category,B4),0)</t>
  </si>
  <si>
    <t xml:space="preserve">COUNTBLANK – blank cells in Sales column</t>
  </si>
  <si>
    <t xml:space="preserve">COUNTBLANK(SalesAmt)</t>
  </si>
  <si>
    <t xml:space="preserve">3. Lookups: VLOOKUP / XLOOKUP / INDEX-MATCH</t>
  </si>
  <si>
    <t xml:space="preserve">VLOOKUP – region of state B6</t>
  </si>
  <si>
    <t xml:space="preserve">VLOOKUP(B6,Lookups!$A$2:$B$50,2,FALSE)</t>
  </si>
  <si>
    <t xml:space="preserve">XLOOKUP – region of state B6</t>
  </si>
  <si>
    <t xml:space="preserve">XLOOKUP(B6,StateList,StateRegion,"Not found")</t>
  </si>
  <si>
    <t xml:space="preserve">INDEX/MATCH – category of sub-category B7</t>
  </si>
  <si>
    <t xml:space="preserve">INDEX(SubCatCat,MATCH(B7,SubCatName,0))</t>
  </si>
  <si>
    <t xml:space="preserve">INDEX/MATCH – LEFT lookup (first sub-category in B4)</t>
  </si>
  <si>
    <t xml:space="preserve">INDEX(SubCatName,MATCH(B4,SubCatCat,0))</t>
  </si>
  <si>
    <t xml:space="preserve">XLOOKUP – not found (custom message)</t>
  </si>
  <si>
    <t xml:space="preserve">XLOOKUP("Atlantis",StateList,StateRegion,"Not found")</t>
  </si>
  <si>
    <t xml:space="preserve">VLOOKUP – not found wrapped in IFERROR</t>
  </si>
  <si>
    <t xml:space="preserve">IFERROR(VLOOKUP("Atlantis",Lookups!$A$2:$B$50,2,FALSE),"Not found")</t>
  </si>
  <si>
    <t xml:space="preserve">4. IF logic</t>
  </si>
  <si>
    <t xml:space="preserve">IF – is region profitable?</t>
  </si>
  <si>
    <t xml:space="preserve">IF(SUMIFS(ProfitAmt,OrderRegion,B3)&gt;0,"Profitable","Loss-making")</t>
  </si>
  <si>
    <t xml:space="preserve">Nested IF – size of SUMIFS total</t>
  </si>
  <si>
    <t xml:space="preserve">IF(B11&gt;=50000,"High",IF(B11&gt;=20000,"Medium","Low"))</t>
  </si>
  <si>
    <t xml:space="preserve">IF + AND – segment health check</t>
  </si>
  <si>
    <t xml:space="preserve">IF(AND(B17&gt;50,B21&gt;200),"Strong","Review")</t>
  </si>
  <si>
    <t xml:space="preserve">5. Text functions</t>
  </si>
  <si>
    <t xml:space="preserve">Raw city input</t>
  </si>
  <si>
    <t xml:space="preserve">  los ANGELES </t>
  </si>
  <si>
    <t xml:space="preserve">Raw location string input</t>
  </si>
  <si>
    <t xml:space="preserve">Henderson|Kentucky|42420</t>
  </si>
  <si>
    <t xml:space="preserve">TRIM – remove extra spaces</t>
  </si>
  <si>
    <t xml:space="preserve">TRIM(B38)</t>
  </si>
  <si>
    <t xml:space="preserve">PROPER(TRIM) – clean city</t>
  </si>
  <si>
    <t xml:space="preserve">PROPER(TRIM(B38))</t>
  </si>
  <si>
    <t xml:space="preserve">UPPER</t>
  </si>
  <si>
    <t xml:space="preserve">UPPER(TRIM(B38))</t>
  </si>
  <si>
    <t xml:space="preserve">LEN – raw vs clean length</t>
  </si>
  <si>
    <t xml:space="preserve">LEN(B38)&amp;" vs "&amp;LEN(TRIM(B38))</t>
  </si>
  <si>
    <t xml:space="preserve">LEFT – first 3 letters of state</t>
  </si>
  <si>
    <t xml:space="preserve">UPPER(LEFT(B6,3))</t>
  </si>
  <si>
    <t xml:space="preserve">FIND – position of first |</t>
  </si>
  <si>
    <t xml:space="preserve">FIND("|",B39)</t>
  </si>
  <si>
    <t xml:space="preserve">MID + FIND – city part of string</t>
  </si>
  <si>
    <t xml:space="preserve">MID(B39,1,FIND("|",B39)-1)</t>
  </si>
  <si>
    <t xml:space="preserve">SUBSTITUTE – replace | with comma</t>
  </si>
  <si>
    <t xml:space="preserve">SUBSTITUTE(B39,"|",", ")</t>
  </si>
  <si>
    <t xml:space="preserve">&amp; (concatenate) – label</t>
  </si>
  <si>
    <t xml:space="preserve">"Region "&amp;B3&amp;" – "&amp;B4&amp;" ("&amp;B5&amp;")"</t>
  </si>
  <si>
    <t xml:space="preserve">TEXT – format number</t>
  </si>
  <si>
    <t xml:space="preserve">TEXT(SUMIFS(SalesAmt,OrderRegion,B3),"#,##0")</t>
  </si>
  <si>
    <t xml:space="preserve">6. Edge-case tests (blank cells, text-vs-number, spaces, errors)</t>
  </si>
  <si>
    <t xml:space="preserve">Test input: state with spaces</t>
  </si>
  <si>
    <t xml:space="preserve">  California </t>
  </si>
  <si>
    <t xml:space="preserve">Test input: postal code stored as TEXT</t>
  </si>
  <si>
    <t xml:space="preserve">42420</t>
  </si>
  <si>
    <t xml:space="preserve">Test input: blank cell (leave empty)</t>
  </si>
  <si>
    <t xml:space="preserve">VLOOKUP without TRIM -&gt; fails</t>
  </si>
  <si>
    <t xml:space="preserve">IFERROR(VLOOKUP(B52,Lookups!$A$2:$B$50,2,FALSE),"Not found (spaces!)")</t>
  </si>
  <si>
    <t xml:space="preserve">VLOOKUP with TRIM -&gt; works</t>
  </si>
  <si>
    <t xml:space="preserve">IFERROR(VLOOKUP(TRIM(B52),Lookups!$A$2:$B$50,2,FALSE),"Not found")</t>
  </si>
  <si>
    <t xml:space="preserve">ISNUMBER on text postal code</t>
  </si>
  <si>
    <t xml:space="preserve">ISNUMBER(B53)</t>
  </si>
  <si>
    <t xml:space="preserve">COUNTIF coerces: text criteria still matches numbers</t>
  </si>
  <si>
    <t xml:space="preserve">COUNTIF(Data!$G$2:$G$501,B53)</t>
  </si>
  <si>
    <t xml:space="preserve">VALUE converts text to number</t>
  </si>
  <si>
    <t xml:space="preserve">VALUE(B53)+0</t>
  </si>
  <si>
    <t xml:space="preserve">Blank cell check</t>
  </si>
  <si>
    <t xml:space="preserve">IF(B54="","Blank cell","Has value")</t>
  </si>
  <si>
    <t xml:space="preserve">N() turns blank into 0</t>
  </si>
  <si>
    <t xml:space="preserve">N(B54)</t>
  </si>
  <si>
    <t xml:space="preserve">Division by zero handled</t>
  </si>
  <si>
    <t xml:space="preserve">IFERROR(1/0,"Div by zero handled")</t>
  </si>
  <si>
    <t xml:space="preserve">Row ID</t>
  </si>
  <si>
    <t xml:space="preserve">Ship Mode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</si>
  <si>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</si>
  <si>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</si>
  <si>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</si>
  <si>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</si>
  <si>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</si>
  <si>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</si>
  <si>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</si>
  <si>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</si>
  <si>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</si>
  <si>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</si>
  <si>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</si>
  <si>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</si>
  <si>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Location Code
UPPER/LEFT/&amp;</t>
  </si>
  <si>
    <t xml:space="preserve">City Clean
PROPER(TRIM)</t>
  </si>
  <si>
    <t xml:space="preserve">Region via State
VLOOKUP</t>
  </si>
  <si>
    <t xml:space="preserve">Region Check
IF</t>
  </si>
  <si>
    <t xml:space="preserve">Category via Sub-Cat
INDEX/MATCH</t>
  </si>
  <si>
    <t xml:space="preserve">Margin %
IF + division</t>
  </si>
  <si>
    <t xml:space="preserve">Profit Status
Nested IF</t>
  </si>
  <si>
    <t xml:space="preserve">Discount Band
Nested IF</t>
  </si>
  <si>
    <t xml:space="preserve">Ship Priority
IF/OR</t>
  </si>
  <si>
    <t xml:space="preserve">Unit Price
ROUND</t>
  </si>
  <si>
    <t xml:space="preserve">Second Class</t>
  </si>
  <si>
    <t xml:space="preserve">United States</t>
  </si>
  <si>
    <t xml:space="preserve">Henderson</t>
  </si>
  <si>
    <t xml:space="preserve">Kentucky</t>
  </si>
  <si>
    <t xml:space="preserve">South</t>
  </si>
  <si>
    <t xml:space="preserve">Furniture</t>
  </si>
  <si>
    <t xml:space="preserve">Bookcases</t>
  </si>
  <si>
    <t xml:space="preserve">Chairs</t>
  </si>
  <si>
    <t xml:space="preserve">Corporate</t>
  </si>
  <si>
    <t xml:space="preserve">Los Angeles</t>
  </si>
  <si>
    <t xml:space="preserve">Office Supplies</t>
  </si>
  <si>
    <t xml:space="preserve">Labels</t>
  </si>
  <si>
    <t xml:space="preserve">Standard Class</t>
  </si>
  <si>
    <t xml:space="preserve">Fort Lauderdale</t>
  </si>
  <si>
    <t xml:space="preserve">Florida</t>
  </si>
  <si>
    <t xml:space="preserve">Tables</t>
  </si>
  <si>
    <t xml:space="preserve">Storage</t>
  </si>
  <si>
    <t xml:space="preserve">Furnishings</t>
  </si>
  <si>
    <t xml:space="preserve">Art</t>
  </si>
  <si>
    <t xml:space="preserve">Binders</t>
  </si>
  <si>
    <t xml:space="preserve">Appliances</t>
  </si>
  <si>
    <t xml:space="preserve">Concord</t>
  </si>
  <si>
    <t xml:space="preserve">North Carolina</t>
  </si>
  <si>
    <t xml:space="preserve">Paper</t>
  </si>
  <si>
    <t xml:space="preserve">Seattle</t>
  </si>
  <si>
    <t xml:space="preserve">Washington</t>
  </si>
  <si>
    <t xml:space="preserve">Home Office</t>
  </si>
  <si>
    <t xml:space="preserve">Fort Worth</t>
  </si>
  <si>
    <t xml:space="preserve">Texas</t>
  </si>
  <si>
    <t xml:space="preserve">Central</t>
  </si>
  <si>
    <t xml:space="preserve">Madison</t>
  </si>
  <si>
    <t xml:space="preserve">Wisconsin</t>
  </si>
  <si>
    <t xml:space="preserve">West Jordan</t>
  </si>
  <si>
    <t xml:space="preserve">Utah</t>
  </si>
  <si>
    <t xml:space="preserve">San Francisco</t>
  </si>
  <si>
    <t xml:space="preserve">Fremont</t>
  </si>
  <si>
    <t xml:space="preserve">Nebraska</t>
  </si>
  <si>
    <t xml:space="preserve">Philadelphia</t>
  </si>
  <si>
    <t xml:space="preserve">Pennsylvania</t>
  </si>
  <si>
    <t xml:space="preserve">East</t>
  </si>
  <si>
    <t xml:space="preserve">Orem</t>
  </si>
  <si>
    <t xml:space="preserve">Accessories</t>
  </si>
  <si>
    <t xml:space="preserve">Envelopes</t>
  </si>
  <si>
    <t xml:space="preserve">Houston</t>
  </si>
  <si>
    <t xml:space="preserve">First Class</t>
  </si>
  <si>
    <t xml:space="preserve">Richardson</t>
  </si>
  <si>
    <t xml:space="preserve">Naperville</t>
  </si>
  <si>
    <t xml:space="preserve">Illinois</t>
  </si>
  <si>
    <t xml:space="preserve">Melbourne</t>
  </si>
  <si>
    <t xml:space="preserve">Eagan</t>
  </si>
  <si>
    <t xml:space="preserve">Minnesota</t>
  </si>
  <si>
    <t xml:space="preserve">Westland</t>
  </si>
  <si>
    <t xml:space="preserve">Michigan</t>
  </si>
  <si>
    <t xml:space="preserve">Dover</t>
  </si>
  <si>
    <t xml:space="preserve">Delaware</t>
  </si>
  <si>
    <t xml:space="preserve">New Albany</t>
  </si>
  <si>
    <t xml:space="preserve">Indiana</t>
  </si>
  <si>
    <t xml:space="preserve">New York City</t>
  </si>
  <si>
    <t xml:space="preserve">New York</t>
  </si>
  <si>
    <t xml:space="preserve">Fasteners</t>
  </si>
  <si>
    <t xml:space="preserve">Troy</t>
  </si>
  <si>
    <t xml:space="preserve">Chicago</t>
  </si>
  <si>
    <t xml:space="preserve">Gilbert</t>
  </si>
  <si>
    <t xml:space="preserve">Arizona</t>
  </si>
  <si>
    <t xml:space="preserve">Springfield</t>
  </si>
  <si>
    <t xml:space="preserve">Virginia</t>
  </si>
  <si>
    <t xml:space="preserve">Jackson</t>
  </si>
  <si>
    <t xml:space="preserve">Memphis</t>
  </si>
  <si>
    <t xml:space="preserve">Tennessee</t>
  </si>
  <si>
    <t xml:space="preserve">Decatur</t>
  </si>
  <si>
    <t xml:space="preserve">Alabama</t>
  </si>
  <si>
    <t xml:space="preserve">Durham</t>
  </si>
  <si>
    <t xml:space="preserve">Columbia</t>
  </si>
  <si>
    <t xml:space="preserve">South Carolina</t>
  </si>
  <si>
    <t xml:space="preserve">Rochester</t>
  </si>
  <si>
    <t xml:space="preserve">Minneapolis</t>
  </si>
  <si>
    <t xml:space="preserve">Portland</t>
  </si>
  <si>
    <t xml:space="preserve">Oregon</t>
  </si>
  <si>
    <t xml:space="preserve">Saint Paul</t>
  </si>
  <si>
    <t xml:space="preserve">Aurora</t>
  </si>
  <si>
    <t xml:space="preserve">Colorado</t>
  </si>
  <si>
    <t xml:space="preserve">Charlotte</t>
  </si>
  <si>
    <t xml:space="preserve">Orland Park</t>
  </si>
  <si>
    <t xml:space="preserve">Urbandale</t>
  </si>
  <si>
    <t xml:space="preserve">Iowa</t>
  </si>
  <si>
    <t xml:space="preserve">Columbus</t>
  </si>
  <si>
    <t xml:space="preserve">Ohio</t>
  </si>
  <si>
    <t xml:space="preserve">Bristol</t>
  </si>
  <si>
    <t xml:space="preserve">Wilmington</t>
  </si>
  <si>
    <t xml:space="preserve">Bloomington</t>
  </si>
  <si>
    <t xml:space="preserve">Phoenix</t>
  </si>
  <si>
    <t xml:space="preserve">Roseville</t>
  </si>
  <si>
    <t xml:space="preserve">Supplies</t>
  </si>
  <si>
    <t xml:space="preserve">Independence</t>
  </si>
  <si>
    <t xml:space="preserve">Missouri</t>
  </si>
  <si>
    <t xml:space="preserve">Pasadena</t>
  </si>
  <si>
    <t xml:space="preserve">Newark</t>
  </si>
  <si>
    <t xml:space="preserve">Franklin</t>
  </si>
  <si>
    <t xml:space="preserve">Scottsdale</t>
  </si>
  <si>
    <t xml:space="preserve">San Jose</t>
  </si>
  <si>
    <t xml:space="preserve">Edmond</t>
  </si>
  <si>
    <t xml:space="preserve">Oklahoma</t>
  </si>
  <si>
    <t xml:space="preserve">Carlsbad</t>
  </si>
  <si>
    <t xml:space="preserve">New Mexico</t>
  </si>
  <si>
    <t xml:space="preserve">San Antonio</t>
  </si>
  <si>
    <t xml:space="preserve">Machines</t>
  </si>
  <si>
    <t xml:space="preserve">Monroe</t>
  </si>
  <si>
    <t xml:space="preserve">Louisiana</t>
  </si>
  <si>
    <t xml:space="preserve">Fairfield</t>
  </si>
  <si>
    <t xml:space="preserve">Connecticut</t>
  </si>
  <si>
    <t xml:space="preserve">Grand Prairie</t>
  </si>
  <si>
    <t xml:space="preserve">Redlands</t>
  </si>
  <si>
    <t xml:space="preserve">Hamilton</t>
  </si>
  <si>
    <t xml:space="preserve">Westfield</t>
  </si>
  <si>
    <t xml:space="preserve">New Jersey</t>
  </si>
  <si>
    <t xml:space="preserve">Akron</t>
  </si>
  <si>
    <t xml:space="preserve">Denver</t>
  </si>
  <si>
    <t xml:space="preserve">Dallas</t>
  </si>
  <si>
    <t xml:space="preserve">Whittier</t>
  </si>
  <si>
    <t xml:space="preserve">Saginaw</t>
  </si>
  <si>
    <t xml:space="preserve">Medina</t>
  </si>
  <si>
    <t xml:space="preserve">Dublin</t>
  </si>
  <si>
    <t xml:space="preserve">Detroit</t>
  </si>
  <si>
    <t xml:space="preserve">Tampa</t>
  </si>
  <si>
    <t xml:space="preserve">Santa Clara</t>
  </si>
  <si>
    <t xml:space="preserve">Lakeville</t>
  </si>
  <si>
    <t xml:space="preserve">San Diego</t>
  </si>
  <si>
    <t xml:space="preserve">Brentwood</t>
  </si>
  <si>
    <t xml:space="preserve">Chapel Hill</t>
  </si>
  <si>
    <t xml:space="preserve">Morristown</t>
  </si>
  <si>
    <t xml:space="preserve">Cincinnati</t>
  </si>
  <si>
    <t xml:space="preserve">Inglewood</t>
  </si>
  <si>
    <t xml:space="preserve">Tamarac</t>
  </si>
  <si>
    <t xml:space="preserve">Colorado Springs</t>
  </si>
  <si>
    <t xml:space="preserve">Belleville</t>
  </si>
  <si>
    <t xml:space="preserve">Taylor</t>
  </si>
  <si>
    <t xml:space="preserve">Lakewood</t>
  </si>
  <si>
    <t xml:space="preserve">Arlington</t>
  </si>
  <si>
    <t xml:space="preserve">Arvada</t>
  </si>
  <si>
    <t xml:space="preserve">Hackensack</t>
  </si>
  <si>
    <t xml:space="preserve">Saint Petersburg</t>
  </si>
  <si>
    <t xml:space="preserve">Long Beach</t>
  </si>
  <si>
    <t xml:space="preserve">Hesperia</t>
  </si>
  <si>
    <t xml:space="preserve">Murfreesboro</t>
  </si>
  <si>
    <t xml:space="preserve">Copiers</t>
  </si>
  <si>
    <t xml:space="preserve">Layton</t>
  </si>
  <si>
    <t xml:space="preserve">Austin</t>
  </si>
  <si>
    <t xml:space="preserve">Lowell</t>
  </si>
  <si>
    <t xml:space="preserve">Massachusetts</t>
  </si>
  <si>
    <t xml:space="preserve">Georgia</t>
  </si>
  <si>
    <t xml:space="preserve">Same Day</t>
  </si>
  <si>
    <t xml:space="preserve">Manchester</t>
  </si>
  <si>
    <t xml:space="preserve">Harlingen</t>
  </si>
  <si>
    <t xml:space="preserve">Tucson</t>
  </si>
  <si>
    <t xml:space="preserve">Quincy</t>
  </si>
  <si>
    <t xml:space="preserve">Pembroke Pines</t>
  </si>
  <si>
    <t xml:space="preserve">Des Moines</t>
  </si>
  <si>
    <t xml:space="preserve">Peoria</t>
  </si>
  <si>
    <t xml:space="preserve">Las Vegas</t>
  </si>
  <si>
    <t xml:space="preserve">Nevada</t>
  </si>
  <si>
    <t xml:space="preserve">Warwick</t>
  </si>
  <si>
    <t xml:space="preserve">Rhode Island</t>
  </si>
  <si>
    <t xml:space="preserve">Miami</t>
  </si>
  <si>
    <t xml:space="preserve">Huntington Beach</t>
  </si>
  <si>
    <t xml:space="preserve">Richmond</t>
  </si>
  <si>
    <t xml:space="preserve">Louisville</t>
  </si>
  <si>
    <t xml:space="preserve">Lawrence</t>
  </si>
  <si>
    <t xml:space="preserve">Mississippi</t>
  </si>
  <si>
    <t xml:space="preserve">Canton</t>
  </si>
  <si>
    <t xml:space="preserve">New Rochelle</t>
  </si>
  <si>
    <t xml:space="preserve">Gastonia</t>
  </si>
  <si>
    <t xml:space="preserve">Jacksonville</t>
  </si>
  <si>
    <t xml:space="preserve">Auburn</t>
  </si>
  <si>
    <t xml:space="preserve">Norman</t>
  </si>
  <si>
    <t xml:space="preserve">Park Ridge</t>
  </si>
  <si>
    <t xml:space="preserve">Amarillo</t>
  </si>
  <si>
    <t xml:space="preserve">Lindenhurst</t>
  </si>
  <si>
    <t xml:space="preserve">Huntsville</t>
  </si>
  <si>
    <t xml:space="preserve">Fayetteville</t>
  </si>
  <si>
    <t xml:space="preserve">Arkansas</t>
  </si>
  <si>
    <t xml:space="preserve">Costa Mesa</t>
  </si>
  <si>
    <t xml:space="preserve">Lookup tables derived from the full Sample Superstore dataset (49 states, 17 sub-categories).</t>
  </si>
  <si>
    <t xml:space="preserve">District of Columbia</t>
  </si>
  <si>
    <t xml:space="preserve">Idaho</t>
  </si>
  <si>
    <t xml:space="preserve">Kansas</t>
  </si>
  <si>
    <t xml:space="preserve">Maine</t>
  </si>
  <si>
    <t xml:space="preserve">Maryland</t>
  </si>
  <si>
    <t xml:space="preserve">Montana</t>
  </si>
  <si>
    <t xml:space="preserve">New Hampshire</t>
  </si>
  <si>
    <t xml:space="preserve">North Dakota</t>
  </si>
  <si>
    <t xml:space="preserve">South Dakota</t>
  </si>
  <si>
    <t xml:space="preserve">Vermont</t>
  </si>
  <si>
    <t xml:space="preserve">West Virginia</t>
  </si>
  <si>
    <t xml:space="preserve">Wyoming</t>
  </si>
  <si>
    <t xml:space="preserve">When to use each formula</t>
  </si>
  <si>
    <t xml:space="preserve">Function</t>
  </si>
  <si>
    <t xml:space="preserve">Use it when…</t>
  </si>
  <si>
    <t xml:space="preserve">Watch out for</t>
  </si>
  <si>
    <t xml:space="preserve">SUMIF</t>
  </si>
  <si>
    <t xml:space="preserve">Total with ONE condition (e.g. sales for one region).</t>
  </si>
  <si>
    <t xml:space="preserve">Order: SUMIF(range, criteria, sum_range).</t>
  </si>
  <si>
    <t xml:space="preserve">SUMIFS</t>
  </si>
  <si>
    <t xml:space="preserve">Total with TWO or MORE conditions (region + category + discount).</t>
  </si>
  <si>
    <t xml:space="preserve">Sum_range comes FIRST in SUMIFS, last in SUMIF.</t>
  </si>
  <si>
    <t xml:space="preserve">COUNTIF / COUNTIFS</t>
  </si>
  <si>
    <t xml:space="preserve">Count rows matching one / many conditions; wildcards like "San*"; operators like "&gt;=0.4".</t>
  </si>
  <si>
    <t xml:space="preserve">Numbers stored as text may not match.</t>
  </si>
  <si>
    <t xml:space="preserve">AVERAGEIFS</t>
  </si>
  <si>
    <t xml:space="preserve">Average of values meeting conditions (avg sale per region).</t>
  </si>
  <si>
    <t xml:space="preserve">Gives a divide-by-zero error if nothing matches – wrap in IFERROR.</t>
  </si>
  <si>
    <t xml:space="preserve">VLOOKUP</t>
  </si>
  <si>
    <t xml:space="preserve">Quick lookup when the key is the LEFT-most column of the table.</t>
  </si>
  <si>
    <t xml:space="preserve">Use FALSE for exact match; breaks if columns are inserted; cannot look left.</t>
  </si>
  <si>
    <t xml:space="preserve">XLOOKUP</t>
  </si>
  <si>
    <t xml:space="preserve">Modern replacement: any direction, exact match by default, built-in not-found message.</t>
  </si>
  <si>
    <t xml:space="preserve">Needs Excel 365/2021+ or Google Sheets.</t>
  </si>
  <si>
    <t xml:space="preserve">INDEX/MATCH</t>
  </si>
  <si>
    <t xml:space="preserve">Look left, support older Excel, or stay safe when columns change.</t>
  </si>
  <si>
    <t xml:space="preserve">Use MATCH(...,0) for exact match.</t>
  </si>
  <si>
    <t xml:space="preserve">IF / nested IF</t>
  </si>
  <si>
    <t xml:space="preserve">Return different results by condition (profit status, discount band).</t>
  </si>
  <si>
    <t xml:space="preserve">Keep nesting shallow; use a lookup table for many tiers.</t>
  </si>
  <si>
    <t xml:space="preserve">AND / OR</t>
  </si>
  <si>
    <t xml:space="preserve">Combine several conditions inside IF.</t>
  </si>
  <si>
    <t xml:space="preserve">Each condition must be a full test.</t>
  </si>
  <si>
    <t xml:space="preserve">IFERROR</t>
  </si>
  <si>
    <t xml:space="preserve">Show a friendly value instead of an error.</t>
  </si>
  <si>
    <t xml:space="preserve">Do not hide real errors – use only where an error is expected.</t>
  </si>
  <si>
    <t xml:space="preserve">TRIM / PROPER / UPPER</t>
  </si>
  <si>
    <t xml:space="preserve">Clean messy text before lookups and grouping.</t>
  </si>
  <si>
    <t xml:space="preserve">TRIM does not remove non-breaking spaces.</t>
  </si>
  <si>
    <t xml:space="preserve">LEFT / MID / FIND / LEN</t>
  </si>
  <si>
    <t xml:space="preserve">Pull parts of text (state code, split strings).</t>
  </si>
  <si>
    <t xml:space="preserve">Wrap FIND in IFERROR when the character may be missing.</t>
  </si>
  <si>
    <t xml:space="preserve">SUBSTITUTE</t>
  </si>
  <si>
    <t xml:space="preserve">Replace specific text.</t>
  </si>
  <si>
    <t xml:space="preserve">Case-sensitive.</t>
  </si>
  <si>
    <t xml:space="preserve">VALUE / ISNUMBER / N</t>
  </si>
  <si>
    <t xml:space="preserve">Fix text-vs-number mismatches and blanks.</t>
  </si>
  <si>
    <t xml:space="preserve">Check with ISNUMBER first.</t>
  </si>
  <si>
    <t xml:space="preserve">Named ranges</t>
  </si>
  <si>
    <t xml:space="preserve">Make formulas readable (SUMIFS(SalesAmt,OrderRegion,...)).</t>
  </si>
  <si>
    <t xml:space="preserve">Extend ranges when data grows, or use an Excel Table.</t>
  </si>
  <si>
    <t xml:space="preserve">Interview questions</t>
  </si>
  <si>
    <t xml:space="preserve">SUMIF vs SUMIFS?</t>
  </si>
  <si>
    <t xml:space="preserve">SUMIF handles one condition; SUMIFS handles many. SUMIFS takes sum_range first, SUMIF takes it last.</t>
  </si>
  <si>
    <t xml:space="preserve">How does XLOOKUP improve on VLOOKUP?</t>
  </si>
  <si>
    <t xml:space="preserve">Looks left or right, exact match by default, no column index number (safe if columns change), has a built-in if_not_found value, and can return multiple columns.</t>
  </si>
  <si>
    <t xml:space="preserve">INDEX/MATCH instead of VLOOKUP?</t>
  </si>
  <si>
    <t xml:space="preserve">When the return column is to the LEFT of the key, when you need older Excel without XLOOKUP, or when columns may be inserted or deleted.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</si>
</sst>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@"/>
    <numFmt numFmtId="167" formatCode="General"/>
    <numFmt numFmtId="168" formatCode="0%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color rgb="FF666666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AF1FB"/>
      </patternFill>
    </fill>
    <fill>
      <patternFill patternType="solid">
        <fgColor rgb="FFD9E2F3"/>
        <bgColor rgb="FFEAF1FB"/>
      </patternFill>
    </fill>
    <fill>
      <patternFill patternType="solid">
        <fgColor rgb="FF1F3864"/>
        <bgColor rgb="FF333333"/>
      </patternFill>
    </fill>
    <fill>
      <patternFill patternType="solid">
        <fgColor rgb="FFEAF1FB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1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7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15" hidden="false" customHeight="false" outlineLevel="0" collapsed="false">
      <c r="A4" s="3" t="s">
        <v>4</v>
      </c>
      <c r="B4" s="4" t="s">
        <v>5</v>
      </c>
    </row>
    <row r="5" customFormat="false" ht="15" hidden="false" customHeight="false" outlineLevel="0" collapsed="false">
      <c r="A5" s="3" t="s">
        <v>6</v>
      </c>
      <c r="B5" s="4" t="s">
        <v>7</v>
      </c>
    </row>
    <row r="6" customFormat="false" ht="15" hidden="false" customHeight="false" outlineLevel="0" collapsed="false">
      <c r="A6" s="3" t="s">
        <v>8</v>
      </c>
      <c r="B6" s="4" t="s">
        <v>9</v>
      </c>
    </row>
    <row r="7" customFormat="false" ht="15" hidden="false" customHeight="false" outlineLevel="0" collapsed="false">
      <c r="A7" s="3" t="s">
        <v>10</v>
      </c>
      <c r="B7" s="4" t="s">
        <v>11</v>
      </c>
    </row>
    <row r="9" customFormat="false" ht="15" hidden="false" customHeight="false" outlineLevel="0" collapsed="false">
      <c r="A9" s="5" t="s">
        <v>12</v>
      </c>
      <c r="B9" s="6"/>
      <c r="C9" s="6"/>
    </row>
    <row r="10" customFormat="false" ht="15" hidden="false" customHeight="false" outlineLevel="0" collapsed="false">
      <c r="A10" s="7" t="s">
        <v>13</v>
      </c>
      <c r="B10" s="8" t="n">
        <f aca="false">SUMIF(OrderRegion,B3,SalesAmt)</f>
        <v>37781.637</v>
      </c>
      <c r="C10" s="9" t="s">
        <v>14</v>
      </c>
    </row>
    <row r="11" customFormat="false" ht="15" hidden="false" customHeight="false" outlineLevel="0" collapsed="false">
      <c r="A11" s="7" t="s">
        <v>15</v>
      </c>
      <c r="B11" s="8" t="n">
        <f aca="false">SUMIFS(SalesAmt,OrderRegion,B3,Category,B4)</f>
        <v>15937.808</v>
      </c>
      <c r="C11" s="9" t="s">
        <v>16</v>
      </c>
    </row>
    <row r="12" customFormat="false" ht="15" hidden="false" customHeight="false" outlineLevel="0" collapsed="false">
      <c r="A12" s="7" t="s">
        <v>17</v>
      </c>
      <c r="B12" s="8" t="n">
        <f aca="false">SUMIFS(SalesAmt,OrderRegion,B3,Category,B4,Segment,B5)</f>
        <v>14840.562</v>
      </c>
      <c r="C12" s="9" t="s">
        <v>18</v>
      </c>
    </row>
    <row r="13" customFormat="false" ht="15" hidden="false" customHeight="false" outlineLevel="0" collapsed="false">
      <c r="A13" s="7" t="s">
        <v>19</v>
      </c>
      <c r="B13" s="8" t="n">
        <f aca="false">SUMIFS(SalesAmt,OrderRegion,B3,Discount,"&gt;0.3")</f>
        <v>1651.577</v>
      </c>
      <c r="C13" s="9" t="s">
        <v>20</v>
      </c>
    </row>
    <row r="14" customFormat="false" ht="15" hidden="false" customHeight="false" outlineLevel="0" collapsed="false">
      <c r="A14" s="7" t="s">
        <v>21</v>
      </c>
      <c r="B14" s="8" t="n">
        <f aca="false">SUMIFS(ProfitAmt,OrderRegion,B3,ProfitAmt,"&lt;0")</f>
        <v>-1429.8178</v>
      </c>
      <c r="C14" s="9" t="s">
        <v>22</v>
      </c>
    </row>
    <row r="16" customFormat="false" ht="15" hidden="false" customHeight="false" outlineLevel="0" collapsed="false">
      <c r="A16" s="5" t="s">
        <v>23</v>
      </c>
      <c r="B16" s="6"/>
      <c r="C16" s="6"/>
    </row>
    <row r="17" customFormat="false" ht="15" hidden="false" customHeight="false" outlineLevel="0" collapsed="false">
      <c r="A17" s="7" t="s">
        <v>24</v>
      </c>
      <c r="B17" s="7" t="n">
        <f aca="false">COUNTIF(OrderRegion,B3)</f>
        <v>154</v>
      </c>
      <c r="C17" s="9" t="s">
        <v>25</v>
      </c>
    </row>
    <row r="18" customFormat="false" ht="15" hidden="false" customHeight="false" outlineLevel="0" collapsed="false">
      <c r="A18" s="7" t="s">
        <v>26</v>
      </c>
      <c r="B18" s="7" t="n">
        <f aca="false">COUNTIFS(OrderRegion,B3,Category,B4)</f>
        <v>32</v>
      </c>
      <c r="C18" s="9" t="s">
        <v>27</v>
      </c>
    </row>
    <row r="19" customFormat="false" ht="15" hidden="false" customHeight="false" outlineLevel="0" collapsed="false">
      <c r="A19" s="7" t="s">
        <v>28</v>
      </c>
      <c r="B19" s="7" t="n">
        <f aca="false">COUNTIF(City,"San*")</f>
        <v>50</v>
      </c>
      <c r="C19" s="9" t="s">
        <v>29</v>
      </c>
    </row>
    <row r="20" customFormat="false" ht="15" hidden="false" customHeight="false" outlineLevel="0" collapsed="false">
      <c r="A20" s="7" t="s">
        <v>30</v>
      </c>
      <c r="B20" s="7" t="n">
        <f aca="false">COUNTIF(Discount,"&gt;=0.4")</f>
        <v>67</v>
      </c>
      <c r="C20" s="9" t="s">
        <v>31</v>
      </c>
    </row>
    <row r="21" customFormat="false" ht="15" hidden="false" customHeight="false" outlineLevel="0" collapsed="false">
      <c r="A21" s="7" t="s">
        <v>32</v>
      </c>
      <c r="B21" s="8" t="n">
        <f aca="false">IFERROR(AVERAGEIFS(SalesAmt,OrderRegion,B3,Category,B4),0)</f>
        <v>498.0565</v>
      </c>
      <c r="C21" s="9" t="s">
        <v>33</v>
      </c>
    </row>
    <row r="22" customFormat="false" ht="15" hidden="false" customHeight="false" outlineLevel="0" collapsed="false">
      <c r="A22" s="7" t="s">
        <v>34</v>
      </c>
      <c r="B22" s="7" t="n">
        <f aca="false">COUNTBLANK(SalesAmt)</f>
        <v>0</v>
      </c>
      <c r="C22" s="9" t="s">
        <v>35</v>
      </c>
    </row>
    <row r="24" customFormat="false" ht="15" hidden="false" customHeight="false" outlineLevel="0" collapsed="false">
      <c r="A24" s="5" t="s">
        <v>36</v>
      </c>
      <c r="B24" s="6"/>
      <c r="C24" s="6"/>
    </row>
    <row r="25" customFormat="false" ht="15" hidden="false" customHeight="false" outlineLevel="0" collapsed="false">
      <c r="A25" s="7" t="s">
        <v>37</v>
      </c>
      <c r="B25" s="7" t="str">
        <f aca="false">VLOOKUP(B6,Lookups!$A$2:$B$50,2,FALSE())</f>
        <v>West</v>
      </c>
      <c r="C25" s="9" t="s">
        <v>38</v>
      </c>
    </row>
    <row r="26" customFormat="false" ht="15" hidden="false" customHeight="false" outlineLevel="0" collapsed="false">
      <c r="A26" s="7" t="s">
        <v>39</v>
      </c>
      <c r="B26" s="7" t="e">
        <f aca="false">_xlfn.xlookup(B6,StateList,StateRegion,"Not found")</f>
        <v>#NAME?</v>
      </c>
      <c r="C26" s="9" t="s">
        <v>40</v>
      </c>
    </row>
    <row r="27" customFormat="false" ht="15" hidden="false" customHeight="false" outlineLevel="0" collapsed="false">
      <c r="A27" s="7" t="s">
        <v>41</v>
      </c>
      <c r="B27" s="7" t="str">
        <f aca="false">INDEX(SubCatCat,MATCH(B7,SubCatName,0))</f>
        <v>Technology</v>
      </c>
      <c r="C27" s="9" t="s">
        <v>42</v>
      </c>
    </row>
    <row r="28" customFormat="false" ht="15" hidden="false" customHeight="false" outlineLevel="0" collapsed="false">
      <c r="A28" s="7" t="s">
        <v>43</v>
      </c>
      <c r="B28" s="7" t="str">
        <f aca="false">INDEX(SubCatName,MATCH(B4,SubCatCat,0))</f>
        <v>Accessories</v>
      </c>
      <c r="C28" s="9" t="s">
        <v>44</v>
      </c>
    </row>
    <row r="29" customFormat="false" ht="15" hidden="false" customHeight="false" outlineLevel="0" collapsed="false">
      <c r="A29" s="7" t="s">
        <v>45</v>
      </c>
      <c r="B29" s="7" t="e">
        <f aca="false">_xlfn.xlookup("Atlantis",StateList,StateRegion,"Not found")</f>
        <v>#NAME?</v>
      </c>
      <c r="C29" s="9" t="s">
        <v>46</v>
      </c>
    </row>
    <row r="30" customFormat="false" ht="15" hidden="false" customHeight="false" outlineLevel="0" collapsed="false">
      <c r="A30" s="7" t="s">
        <v>47</v>
      </c>
      <c r="B30" s="7" t="str">
        <f aca="false">IFERROR(VLOOKUP("Atlantis",Lookups!$A$2:$B$50,2,FALSE()),"Not found")</f>
        <v>Not found</v>
      </c>
      <c r="C30" s="9" t="s">
        <v>48</v>
      </c>
    </row>
    <row r="32" customFormat="false" ht="15" hidden="false" customHeight="false" outlineLevel="0" collapsed="false">
      <c r="A32" s="5" t="s">
        <v>49</v>
      </c>
      <c r="B32" s="6"/>
      <c r="C32" s="6"/>
    </row>
    <row r="33" customFormat="false" ht="15" hidden="false" customHeight="false" outlineLevel="0" collapsed="false">
      <c r="A33" s="7" t="s">
        <v>50</v>
      </c>
      <c r="B33" s="7" t="str">
        <f aca="false">IF(SUMIFS(ProfitAmt,OrderRegion,B3)&gt;0,"Profitable","Loss-making")</f>
        <v>Profitable</v>
      </c>
      <c r="C33" s="9" t="s">
        <v>51</v>
      </c>
    </row>
    <row r="34" customFormat="false" ht="15" hidden="false" customHeight="false" outlineLevel="0" collapsed="false">
      <c r="A34" s="7" t="s">
        <v>52</v>
      </c>
      <c r="B34" s="7" t="str">
        <f aca="false">IF(B11&gt;=50000,"High",IF(B11&gt;=20000,"Medium","Low"))</f>
        <v>Low</v>
      </c>
      <c r="C34" s="9" t="s">
        <v>53</v>
      </c>
    </row>
    <row r="35" customFormat="false" ht="15" hidden="false" customHeight="false" outlineLevel="0" collapsed="false">
      <c r="A35" s="7" t="s">
        <v>54</v>
      </c>
      <c r="B35" s="7" t="str">
        <f aca="false">IF(AND(B17&gt;50,B21&gt;200),"Strong","Review")</f>
        <v>Strong</v>
      </c>
      <c r="C35" s="9" t="s">
        <v>55</v>
      </c>
    </row>
    <row r="37" customFormat="false" ht="15" hidden="false" customHeight="false" outlineLevel="0" collapsed="false">
      <c r="A37" s="5" t="s">
        <v>56</v>
      </c>
      <c r="B37" s="6"/>
      <c r="C37" s="6"/>
    </row>
    <row r="38" customFormat="false" ht="15" hidden="false" customHeight="false" outlineLevel="0" collapsed="false">
      <c r="A38" s="3" t="s">
        <v>57</v>
      </c>
      <c r="B38" s="10" t="s">
        <v>58</v>
      </c>
    </row>
    <row r="39" customFormat="false" ht="15" hidden="false" customHeight="false" outlineLevel="0" collapsed="false">
      <c r="A39" s="3" t="s">
        <v>59</v>
      </c>
      <c r="B39" s="10" t="s">
        <v>60</v>
      </c>
    </row>
    <row r="40" customFormat="false" ht="15" hidden="false" customHeight="false" outlineLevel="0" collapsed="false">
      <c r="A40" s="7" t="s">
        <v>61</v>
      </c>
      <c r="B40" s="7" t="str">
        <f aca="false">TRIM(B38)</f>
        <v>los ANGELES</v>
      </c>
      <c r="C40" s="9" t="s">
        <v>62</v>
      </c>
    </row>
    <row r="41" customFormat="false" ht="15" hidden="false" customHeight="false" outlineLevel="0" collapsed="false">
      <c r="A41" s="7" t="s">
        <v>63</v>
      </c>
      <c r="B41" s="7" t="str">
        <f aca="false">PROPER(TRIM(B38))</f>
        <v>Los Angeles</v>
      </c>
      <c r="C41" s="9" t="s">
        <v>64</v>
      </c>
    </row>
    <row r="42" customFormat="false" ht="15" hidden="false" customHeight="false" outlineLevel="0" collapsed="false">
      <c r="A42" s="7" t="s">
        <v>65</v>
      </c>
      <c r="B42" s="7" t="str">
        <f aca="false">UPPER(TRIM(B38))</f>
        <v>LOS ANGELES</v>
      </c>
      <c r="C42" s="9" t="s">
        <v>66</v>
      </c>
    </row>
    <row r="43" customFormat="false" ht="15" hidden="false" customHeight="false" outlineLevel="0" collapsed="false">
      <c r="A43" s="7" t="s">
        <v>67</v>
      </c>
      <c r="B43" s="7" t="str">
        <f aca="false">LEN(B38)&amp;" vs "&amp;LEN(TRIM(B38))</f>
        <v>14 vs 11</v>
      </c>
      <c r="C43" s="9" t="s">
        <v>68</v>
      </c>
    </row>
    <row r="44" customFormat="false" ht="15" hidden="false" customHeight="false" outlineLevel="0" collapsed="false">
      <c r="A44" s="7" t="s">
        <v>69</v>
      </c>
      <c r="B44" s="7" t="str">
        <f aca="false">UPPER(LEFT(B6,3))</f>
        <v>CAL</v>
      </c>
      <c r="C44" s="9" t="s">
        <v>70</v>
      </c>
    </row>
    <row r="45" customFormat="false" ht="15" hidden="false" customHeight="false" outlineLevel="0" collapsed="false">
      <c r="A45" s="7" t="s">
        <v>71</v>
      </c>
      <c r="B45" s="7" t="n">
        <f aca="false">FIND("|",B39)</f>
        <v>10</v>
      </c>
      <c r="C45" s="9" t="s">
        <v>72</v>
      </c>
    </row>
    <row r="46" customFormat="false" ht="15" hidden="false" customHeight="false" outlineLevel="0" collapsed="false">
      <c r="A46" s="7" t="s">
        <v>73</v>
      </c>
      <c r="B46" s="7" t="str">
        <f aca="false">MID(B39,1,FIND("|",B39)-1)</f>
        <v>Henderson</v>
      </c>
      <c r="C46" s="9" t="s">
        <v>74</v>
      </c>
    </row>
    <row r="47" customFormat="false" ht="15" hidden="false" customHeight="false" outlineLevel="0" collapsed="false">
      <c r="A47" s="7" t="s">
        <v>75</v>
      </c>
      <c r="B47" s="7" t="str">
        <f aca="false">SUBSTITUTE(B39,"|",", ")</f>
        <v>Henderson, Kentucky, 42420</v>
      </c>
      <c r="C47" s="9" t="s">
        <v>76</v>
      </c>
    </row>
    <row r="48" customFormat="false" ht="15" hidden="false" customHeight="false" outlineLevel="0" collapsed="false">
      <c r="A48" s="7" t="s">
        <v>77</v>
      </c>
      <c r="B48" s="7" t="str">
        <f aca="false">"Region "&amp;B3&amp;" – "&amp;B4&amp;" ("&amp;B5&amp;")"</f>
        <v>Region West – Technology (Consumer)</v>
      </c>
      <c r="C48" s="9" t="s">
        <v>78</v>
      </c>
    </row>
    <row r="49" customFormat="false" ht="15" hidden="false" customHeight="false" outlineLevel="0" collapsed="false">
      <c r="A49" s="7" t="s">
        <v>79</v>
      </c>
      <c r="B49" s="7" t="str">
        <f aca="false">TEXT(SUMIFS(SalesAmt,OrderRegion,B3),"#,##0")</f>
        <v>37,782</v>
      </c>
      <c r="C49" s="9" t="s">
        <v>80</v>
      </c>
    </row>
    <row r="51" customFormat="false" ht="15" hidden="false" customHeight="false" outlineLevel="0" collapsed="false">
      <c r="A51" s="5" t="s">
        <v>81</v>
      </c>
      <c r="B51" s="6"/>
      <c r="C51" s="6"/>
    </row>
    <row r="52" customFormat="false" ht="15" hidden="false" customHeight="false" outlineLevel="0" collapsed="false">
      <c r="A52" s="3" t="s">
        <v>82</v>
      </c>
      <c r="B52" s="10" t="s">
        <v>83</v>
      </c>
    </row>
    <row r="53" customFormat="false" ht="15" hidden="false" customHeight="false" outlineLevel="0" collapsed="false">
      <c r="A53" s="3" t="s">
        <v>84</v>
      </c>
      <c r="B53" s="11" t="s">
        <v>85</v>
      </c>
    </row>
    <row r="54" customFormat="false" ht="15" hidden="false" customHeight="false" outlineLevel="0" collapsed="false">
      <c r="A54" s="3" t="s">
        <v>86</v>
      </c>
      <c r="B54" s="10"/>
    </row>
    <row r="55" customFormat="false" ht="15" hidden="false" customHeight="false" outlineLevel="0" collapsed="false">
      <c r="A55" s="7" t="s">
        <v>87</v>
      </c>
      <c r="B55" s="7" t="str">
        <f aca="false">IFERROR(VLOOKUP(B52,Lookups!$A$2:$B$50,2,FALSE()),"Not found (spaces!)")</f>
        <v>Not found (spaces!)</v>
      </c>
      <c r="C55" s="9" t="s">
        <v>88</v>
      </c>
    </row>
    <row r="56" customFormat="false" ht="15" hidden="false" customHeight="false" outlineLevel="0" collapsed="false">
      <c r="A56" s="7" t="s">
        <v>89</v>
      </c>
      <c r="B56" s="7" t="str">
        <f aca="false">IFERROR(VLOOKUP(TRIM(B52),Lookups!$A$2:$B$50,2,FALSE()),"Not found")</f>
        <v>West</v>
      </c>
      <c r="C56" s="9" t="s">
        <v>90</v>
      </c>
    </row>
    <row r="57" customFormat="false" ht="15" hidden="false" customHeight="false" outlineLevel="0" collapsed="false">
      <c r="A57" s="7" t="s">
        <v>91</v>
      </c>
      <c r="B57" s="12" t="b">
        <f aca="false">ISNUMBER(B53)</f>
        <v>0</v>
      </c>
      <c r="C57" s="9" t="s">
        <v>92</v>
      </c>
    </row>
    <row r="58" customFormat="false" ht="15" hidden="false" customHeight="false" outlineLevel="0" collapsed="false">
      <c r="A58" s="7" t="s">
        <v>93</v>
      </c>
      <c r="B58" s="7" t="n">
        <f aca="false">COUNTIF(Data!$G$2:$G$501,B53)</f>
        <v>2</v>
      </c>
      <c r="C58" s="9" t="s">
        <v>94</v>
      </c>
    </row>
    <row r="59" customFormat="false" ht="15" hidden="false" customHeight="false" outlineLevel="0" collapsed="false">
      <c r="A59" s="7" t="s">
        <v>95</v>
      </c>
      <c r="B59" s="7" t="n">
        <f aca="false">VALUE(B53)+0</f>
        <v>42420</v>
      </c>
      <c r="C59" s="9" t="s">
        <v>96</v>
      </c>
    </row>
    <row r="60" customFormat="false" ht="15" hidden="false" customHeight="false" outlineLevel="0" collapsed="false">
      <c r="A60" s="7" t="s">
        <v>97</v>
      </c>
      <c r="B60" s="7" t="str">
        <f aca="false">IF(B54="","Blank cell","Has value")</f>
        <v>Blank cell</v>
      </c>
      <c r="C60" s="9" t="s">
        <v>98</v>
      </c>
    </row>
    <row r="61" customFormat="false" ht="15" hidden="false" customHeight="false" outlineLevel="0" collapsed="false">
      <c r="A61" s="7" t="s">
        <v>99</v>
      </c>
      <c r="B61" s="7" t="n">
        <f aca="false">N(B54)</f>
        <v>0</v>
      </c>
      <c r="C61" s="9" t="s">
        <v>100</v>
      </c>
    </row>
    <row r="62" customFormat="false" ht="15" hidden="false" customHeight="false" outlineLevel="0" collapsed="false">
      <c r="A62" s="7" t="s">
        <v>101</v>
      </c>
      <c r="B62" s="7" t="str">
        <f aca="false">IFERROR(1/0,"Div by zero handled")</f>
        <v>Div by zero handled</v>
      </c>
      <c r="C62" s="9" t="s">
        <v>102</v>
      </c>
    </row>
  </sheetData>
  <dataValidations count="5">
    <dataValidation allowBlank="false" errorStyle="stop" operator="between" showDropDown="false" showErrorMessage="false" showInputMessage="false" sqref="B3" type="list">
      <formula1>"Central,East,South,West"</formula1>
      <formula2>0</formula2>
    </dataValidation>
    <dataValidation allowBlank="false" errorStyle="stop" operator="between" showDropDown="false" showErrorMessage="false" showInputMessage="false" sqref="B4" type="list">
      <formula1>"Furniture,Office Supplies,Technology"</formula1>
      <formula2>0</formula2>
    </dataValidation>
    <dataValidation allowBlank="false" errorStyle="stop" operator="between" showDropDown="false" showErrorMessage="false" showInputMessage="false" sqref="B5" type="list">
      <formula1>"Consumer,Corporate,Home Office"</formula1>
      <formula2>0</formula2>
    </dataValidation>
    <dataValidation allowBlank="false" errorStyle="stop" operator="between" showDropDown="false" showErrorMessage="false" showInputMessage="false" sqref="B6" type="list">
      <formula1>Lookups!$A$2:$A$50</formula1>
      <formula2>0</formula2>
    </dataValidation>
    <dataValidation allowBlank="false" errorStyle="stop" operator="between" showDropDown="false" showErrorMessage="false" showInputMessage="false" sqref="B7" type="list">
      <formula1>Lookups!$D$2:$D$18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7" min="16" style="0" width="16"/>
    <col collapsed="false" customWidth="true" hidden="false" outlineLevel="0" max="18" min="18" style="0" width="13"/>
    <col collapsed="false" customWidth="true" hidden="false" outlineLevel="0" max="19" min="19" style="0" width="18"/>
    <col collapsed="false" customWidth="true" hidden="false" outlineLevel="0" max="20" min="20" style="0" width="10"/>
    <col collapsed="false" customWidth="true" hidden="false" outlineLevel="0" max="21" min="21" style="0" width="13"/>
    <col collapsed="false" customWidth="true" hidden="false" outlineLevel="0" max="22" min="22" style="0" width="14"/>
    <col collapsed="false" customWidth="true" hidden="false" outlineLevel="0" max="23" min="23" style="0" width="13"/>
    <col collapsed="false" customWidth="true" hidden="false" outlineLevel="0" max="24" min="24" style="0" width="11"/>
  </cols>
  <sheetData>
    <row r="1" customFormat="false" ht="45" hidden="false" customHeight="true" outlineLevel="0" collapsed="false">
      <c r="A1" s="13" t="s">
        <v>103</v>
      </c>
      <c r="B1" s="13" t="s">
        <v>104</v>
      </c>
      <c r="C1" s="13" t="s">
        <v>105</v>
      </c>
      <c r="D1" s="13" t="s">
        <v>106</v>
      </c>
      <c r="E1" s="13" t="s">
        <v>107</v>
      </c>
      <c r="F1" s="13" t="s">
        <v>108</v>
      </c>
      <c r="G1" s="13" t="s">
        <v>109</v>
      </c>
      <c r="H1" s="13" t="s">
        <v>110</v>
      </c>
      <c r="I1" s="13" t="s">
        <v>111</v>
      </c>
      <c r="J1" s="13" t="s">
        <v>112</v>
      </c>
      <c r="K1" s="13" t="s">
        <v>113</v>
      </c>
      <c r="L1" s="13" t="s">
        <v>114</v>
      </c>
      <c r="M1" s="13" t="s">
        <v>115</v>
      </c>
      <c r="N1" s="13" t="s">
        <v>116</v>
      </c>
      <c r="O1" s="13" t="s">
        <v>117</v>
      </c>
      <c r="P1" s="13" t="s">
        <v>118</v>
      </c>
      <c r="Q1" s="13" t="s">
        <v>119</v>
      </c>
      <c r="R1" s="13" t="s">
        <v>120</v>
      </c>
      <c r="S1" s="13" t="s">
        <v>121</v>
      </c>
      <c r="T1" s="13" t="s">
        <v>122</v>
      </c>
      <c r="U1" s="13" t="s">
        <v>123</v>
      </c>
      <c r="V1" s="13" t="s">
        <v>124</v>
      </c>
      <c r="W1" s="13" t="s">
        <v>125</v>
      </c>
      <c r="X1" s="13" t="s">
        <v>126</v>
      </c>
    </row>
    <row r="2" customFormat="false" ht="15" hidden="false" customHeight="false" outlineLevel="0" collapsed="false">
      <c r="A2" s="14" t="n">
        <v>1</v>
      </c>
      <c r="B2" s="14" t="s">
        <v>127</v>
      </c>
      <c r="C2" s="14" t="s">
        <v>7</v>
      </c>
      <c r="D2" s="14" t="s">
        <v>128</v>
      </c>
      <c r="E2" s="14" t="s">
        <v>129</v>
      </c>
      <c r="F2" s="14" t="s">
        <v>130</v>
      </c>
      <c r="G2" s="14" t="n">
        <v>42420</v>
      </c>
      <c r="H2" s="14" t="s">
        <v>131</v>
      </c>
      <c r="I2" s="14" t="s">
        <v>132</v>
      </c>
      <c r="J2" s="14" t="s">
        <v>133</v>
      </c>
      <c r="K2" s="15" t="n">
        <v>261.96</v>
      </c>
      <c r="L2" s="14" t="n">
        <v>2</v>
      </c>
      <c r="M2" s="16" t="n">
        <v>0</v>
      </c>
      <c r="N2" s="15" t="n">
        <v>41.9136</v>
      </c>
      <c r="O2" s="17" t="str">
        <f aca="false">UPPER(LEFT(F2,3))&amp;"-"&amp;G2</f>
        <v>KEN-42420</v>
      </c>
      <c r="P2" s="17" t="str">
        <f aca="false">PROPER(TRIM(E2))</f>
        <v>Henderson</v>
      </c>
      <c r="Q2" s="17" t="str">
        <f aca="false">IFERROR(VLOOKUP(F2,Lookups!$A$2:$B$50,2,FALSE()),"Not found")</f>
        <v>South</v>
      </c>
      <c r="R2" s="17" t="str">
        <f aca="false">IF(Q2=H2,"Match","Mismatch")</f>
        <v>Match</v>
      </c>
      <c r="S2" s="17" t="str">
        <f aca="false">IFERROR(INDEX(SubCatCat,MATCH(J2,SubCatName,0)),"Not found")</f>
        <v>Furniture</v>
      </c>
      <c r="T2" s="18" t="n">
        <f aca="false">IF(K2=0,0,N2/K2)</f>
        <v>0.16</v>
      </c>
      <c r="U2" s="17" t="str">
        <f aca="false">IF(N2&lt;0,"Loss",IF(T2&gt;=0.2,"High margin","Normal"))</f>
        <v>Normal</v>
      </c>
      <c r="V2" s="17" t="str">
        <f aca="false">IF(M2=0,"No discount",IF(M2&lt;=0.2,"Low",IF(M2&lt;=0.4,"Medium","High")))</f>
        <v>No discount</v>
      </c>
      <c r="W2" s="17" t="str">
        <f aca="false">IF(OR(B2="Same Day",B2="First Class"),"Fast","Standard")</f>
        <v>Standard</v>
      </c>
      <c r="X2" s="19" t="n">
        <f aca="false">ROUND(K2/L2,2)</f>
        <v>130.98</v>
      </c>
    </row>
    <row r="3" customFormat="false" ht="15" hidden="false" customHeight="false" outlineLevel="0" collapsed="false">
      <c r="A3" s="14" t="n">
        <v>2</v>
      </c>
      <c r="B3" s="14" t="s">
        <v>127</v>
      </c>
      <c r="C3" s="14" t="s">
        <v>7</v>
      </c>
      <c r="D3" s="14" t="s">
        <v>128</v>
      </c>
      <c r="E3" s="14" t="s">
        <v>129</v>
      </c>
      <c r="F3" s="14" t="s">
        <v>130</v>
      </c>
      <c r="G3" s="14" t="n">
        <v>42420</v>
      </c>
      <c r="H3" s="14" t="s">
        <v>131</v>
      </c>
      <c r="I3" s="14" t="s">
        <v>132</v>
      </c>
      <c r="J3" s="14" t="s">
        <v>134</v>
      </c>
      <c r="K3" s="15" t="n">
        <v>731.94</v>
      </c>
      <c r="L3" s="14" t="n">
        <v>3</v>
      </c>
      <c r="M3" s="16" t="n">
        <v>0</v>
      </c>
      <c r="N3" s="15" t="n">
        <v>219.582</v>
      </c>
      <c r="O3" s="17" t="str">
        <f aca="false">UPPER(LEFT(F3,3))&amp;"-"&amp;G3</f>
        <v>KEN-42420</v>
      </c>
      <c r="P3" s="17" t="str">
        <f aca="false">PROPER(TRIM(E3))</f>
        <v>Henderson</v>
      </c>
      <c r="Q3" s="17" t="str">
        <f aca="false">IFERROR(VLOOKUP(F3,Lookups!$A$2:$B$50,2,FALSE()),"Not found")</f>
        <v>South</v>
      </c>
      <c r="R3" s="17" t="str">
        <f aca="false">IF(Q3=H3,"Match","Mismatch")</f>
        <v>Match</v>
      </c>
      <c r="S3" s="17" t="str">
        <f aca="false">IFERROR(INDEX(SubCatCat,MATCH(J3,SubCatName,0)),"Not found")</f>
        <v>Furniture</v>
      </c>
      <c r="T3" s="18" t="n">
        <f aca="false">IF(K3=0,0,N3/K3)</f>
        <v>0.3</v>
      </c>
      <c r="U3" s="17" t="str">
        <f aca="false">IF(N3&lt;0,"Loss",IF(T3&gt;=0.2,"High margin","Normal"))</f>
        <v>High margin</v>
      </c>
      <c r="V3" s="17" t="str">
        <f aca="false">IF(M3=0,"No discount",IF(M3&lt;=0.2,"Low",IF(M3&lt;=0.4,"Medium","High")))</f>
        <v>No discount</v>
      </c>
      <c r="W3" s="17" t="str">
        <f aca="false">IF(OR(B3="Same Day",B3="First Class"),"Fast","Standard")</f>
        <v>Standard</v>
      </c>
      <c r="X3" s="19" t="n">
        <f aca="false">ROUND(K3/L3,2)</f>
        <v>243.98</v>
      </c>
    </row>
    <row r="4" customFormat="false" ht="15" hidden="false" customHeight="false" outlineLevel="0" collapsed="false">
      <c r="A4" s="14" t="n">
        <v>3</v>
      </c>
      <c r="B4" s="14" t="s">
        <v>127</v>
      </c>
      <c r="C4" s="14" t="s">
        <v>135</v>
      </c>
      <c r="D4" s="14" t="s">
        <v>128</v>
      </c>
      <c r="E4" s="14" t="s">
        <v>136</v>
      </c>
      <c r="F4" s="14" t="s">
        <v>9</v>
      </c>
      <c r="G4" s="14" t="n">
        <v>90036</v>
      </c>
      <c r="H4" s="14" t="s">
        <v>3</v>
      </c>
      <c r="I4" s="14" t="s">
        <v>137</v>
      </c>
      <c r="J4" s="14" t="s">
        <v>138</v>
      </c>
      <c r="K4" s="15" t="n">
        <v>14.62</v>
      </c>
      <c r="L4" s="14" t="n">
        <v>2</v>
      </c>
      <c r="M4" s="16" t="n">
        <v>0</v>
      </c>
      <c r="N4" s="15" t="n">
        <v>6.8714</v>
      </c>
      <c r="O4" s="17" t="str">
        <f aca="false">UPPER(LEFT(F4,3))&amp;"-"&amp;G4</f>
        <v>CAL-90036</v>
      </c>
      <c r="P4" s="17" t="str">
        <f aca="false">PROPER(TRIM(E4))</f>
        <v>Los Angeles</v>
      </c>
      <c r="Q4" s="17" t="str">
        <f aca="false">IFERROR(VLOOKUP(F4,Lookups!$A$2:$B$50,2,FALSE()),"Not found")</f>
        <v>West</v>
      </c>
      <c r="R4" s="17" t="str">
        <f aca="false">IF(Q4=H4,"Match","Mismatch")</f>
        <v>Match</v>
      </c>
      <c r="S4" s="17" t="str">
        <f aca="false">IFERROR(INDEX(SubCatCat,MATCH(J4,SubCatName,0)),"Not found")</f>
        <v>Office Supplies</v>
      </c>
      <c r="T4" s="18" t="n">
        <f aca="false">IF(K4=0,0,N4/K4)</f>
        <v>0.47</v>
      </c>
      <c r="U4" s="17" t="str">
        <f aca="false">IF(N4&lt;0,"Loss",IF(T4&gt;=0.2,"High margin","Normal"))</f>
        <v>High margin</v>
      </c>
      <c r="V4" s="17" t="str">
        <f aca="false">IF(M4=0,"No discount",IF(M4&lt;=0.2,"Low",IF(M4&lt;=0.4,"Medium","High")))</f>
        <v>No discount</v>
      </c>
      <c r="W4" s="17" t="str">
        <f aca="false">IF(OR(B4="Same Day",B4="First Class"),"Fast","Standard")</f>
        <v>Standard</v>
      </c>
      <c r="X4" s="19" t="n">
        <f aca="false">ROUND(K4/L4,2)</f>
        <v>7.31</v>
      </c>
    </row>
    <row r="5" customFormat="false" ht="15" hidden="false" customHeight="false" outlineLevel="0" collapsed="false">
      <c r="A5" s="14" t="n">
        <v>4</v>
      </c>
      <c r="B5" s="14" t="s">
        <v>139</v>
      </c>
      <c r="C5" s="14" t="s">
        <v>7</v>
      </c>
      <c r="D5" s="14" t="s">
        <v>128</v>
      </c>
      <c r="E5" s="14" t="s">
        <v>140</v>
      </c>
      <c r="F5" s="14" t="s">
        <v>141</v>
      </c>
      <c r="G5" s="14" t="n">
        <v>33311</v>
      </c>
      <c r="H5" s="14" t="s">
        <v>131</v>
      </c>
      <c r="I5" s="14" t="s">
        <v>132</v>
      </c>
      <c r="J5" s="14" t="s">
        <v>142</v>
      </c>
      <c r="K5" s="15" t="n">
        <v>957.5775</v>
      </c>
      <c r="L5" s="14" t="n">
        <v>5</v>
      </c>
      <c r="M5" s="16" t="n">
        <v>0.45</v>
      </c>
      <c r="N5" s="15" t="n">
        <v>-383.031</v>
      </c>
      <c r="O5" s="17" t="str">
        <f aca="false">UPPER(LEFT(F5,3))&amp;"-"&amp;G5</f>
        <v>FLO-33311</v>
      </c>
      <c r="P5" s="17" t="str">
        <f aca="false">PROPER(TRIM(E5))</f>
        <v>Fort Lauderdale</v>
      </c>
      <c r="Q5" s="17" t="str">
        <f aca="false">IFERROR(VLOOKUP(F5,Lookups!$A$2:$B$50,2,FALSE()),"Not found")</f>
        <v>South</v>
      </c>
      <c r="R5" s="17" t="str">
        <f aca="false">IF(Q5=H5,"Match","Mismatch")</f>
        <v>Match</v>
      </c>
      <c r="S5" s="17" t="str">
        <f aca="false">IFERROR(INDEX(SubCatCat,MATCH(J5,SubCatName,0)),"Not found")</f>
        <v>Furniture</v>
      </c>
      <c r="T5" s="18" t="n">
        <f aca="false">IF(K5=0,0,N5/K5)</f>
        <v>-0.4</v>
      </c>
      <c r="U5" s="17" t="str">
        <f aca="false">IF(N5&lt;0,"Loss",IF(T5&gt;=0.2,"High margin","Normal"))</f>
        <v>Loss</v>
      </c>
      <c r="V5" s="17" t="str">
        <f aca="false">IF(M5=0,"No discount",IF(M5&lt;=0.2,"Low",IF(M5&lt;=0.4,"Medium","High")))</f>
        <v>High</v>
      </c>
      <c r="W5" s="17" t="str">
        <f aca="false">IF(OR(B5="Same Day",B5="First Class"),"Fast","Standard")</f>
        <v>Standard</v>
      </c>
      <c r="X5" s="19" t="n">
        <f aca="false">ROUND(K5/L5,2)</f>
        <v>191.52</v>
      </c>
    </row>
    <row r="6" customFormat="false" ht="15" hidden="false" customHeight="false" outlineLevel="0" collapsed="false">
      <c r="A6" s="14" t="n">
        <v>5</v>
      </c>
      <c r="B6" s="14" t="s">
        <v>139</v>
      </c>
      <c r="C6" s="14" t="s">
        <v>7</v>
      </c>
      <c r="D6" s="14" t="s">
        <v>128</v>
      </c>
      <c r="E6" s="14" t="s">
        <v>140</v>
      </c>
      <c r="F6" s="14" t="s">
        <v>141</v>
      </c>
      <c r="G6" s="14" t="n">
        <v>33311</v>
      </c>
      <c r="H6" s="14" t="s">
        <v>131</v>
      </c>
      <c r="I6" s="14" t="s">
        <v>137</v>
      </c>
      <c r="J6" s="14" t="s">
        <v>143</v>
      </c>
      <c r="K6" s="15" t="n">
        <v>22.368</v>
      </c>
      <c r="L6" s="14" t="n">
        <v>2</v>
      </c>
      <c r="M6" s="16" t="n">
        <v>0.2</v>
      </c>
      <c r="N6" s="15" t="n">
        <v>2.5164</v>
      </c>
      <c r="O6" s="17" t="str">
        <f aca="false">UPPER(LEFT(F6,3))&amp;"-"&amp;G6</f>
        <v>FLO-33311</v>
      </c>
      <c r="P6" s="17" t="str">
        <f aca="false">PROPER(TRIM(E6))</f>
        <v>Fort Lauderdale</v>
      </c>
      <c r="Q6" s="17" t="str">
        <f aca="false">IFERROR(VLOOKUP(F6,Lookups!$A$2:$B$50,2,FALSE()),"Not found")</f>
        <v>South</v>
      </c>
      <c r="R6" s="17" t="str">
        <f aca="false">IF(Q6=H6,"Match","Mismatch")</f>
        <v>Match</v>
      </c>
      <c r="S6" s="17" t="str">
        <f aca="false">IFERROR(INDEX(SubCatCat,MATCH(J6,SubCatName,0)),"Not found")</f>
        <v>Office Supplies</v>
      </c>
      <c r="T6" s="18" t="n">
        <f aca="false">IF(K6=0,0,N6/K6)</f>
        <v>0.1125</v>
      </c>
      <c r="U6" s="17" t="str">
        <f aca="false">IF(N6&lt;0,"Loss",IF(T6&gt;=0.2,"High margin","Normal"))</f>
        <v>Normal</v>
      </c>
      <c r="V6" s="17" t="str">
        <f aca="false">IF(M6=0,"No discount",IF(M6&lt;=0.2,"Low",IF(M6&lt;=0.4,"Medium","High")))</f>
        <v>Low</v>
      </c>
      <c r="W6" s="17" t="str">
        <f aca="false">IF(OR(B6="Same Day",B6="First Class"),"Fast","Standard")</f>
        <v>Standard</v>
      </c>
      <c r="X6" s="19" t="n">
        <f aca="false">ROUND(K6/L6,2)</f>
        <v>11.18</v>
      </c>
    </row>
    <row r="7" customFormat="false" ht="15" hidden="false" customHeight="false" outlineLevel="0" collapsed="false">
      <c r="A7" s="14" t="n">
        <v>6</v>
      </c>
      <c r="B7" s="14" t="s">
        <v>139</v>
      </c>
      <c r="C7" s="14" t="s">
        <v>7</v>
      </c>
      <c r="D7" s="14" t="s">
        <v>128</v>
      </c>
      <c r="E7" s="14" t="s">
        <v>136</v>
      </c>
      <c r="F7" s="14" t="s">
        <v>9</v>
      </c>
      <c r="G7" s="14" t="n">
        <v>90032</v>
      </c>
      <c r="H7" s="14" t="s">
        <v>3</v>
      </c>
      <c r="I7" s="14" t="s">
        <v>132</v>
      </c>
      <c r="J7" s="14" t="s">
        <v>144</v>
      </c>
      <c r="K7" s="15" t="n">
        <v>48.86</v>
      </c>
      <c r="L7" s="14" t="n">
        <v>7</v>
      </c>
      <c r="M7" s="16" t="n">
        <v>0</v>
      </c>
      <c r="N7" s="15" t="n">
        <v>14.1694</v>
      </c>
      <c r="O7" s="17" t="str">
        <f aca="false">UPPER(LEFT(F7,3))&amp;"-"&amp;G7</f>
        <v>CAL-90032</v>
      </c>
      <c r="P7" s="17" t="str">
        <f aca="false">PROPER(TRIM(E7))</f>
        <v>Los Angeles</v>
      </c>
      <c r="Q7" s="17" t="str">
        <f aca="false">IFERROR(VLOOKUP(F7,Lookups!$A$2:$B$50,2,FALSE()),"Not found")</f>
        <v>West</v>
      </c>
      <c r="R7" s="17" t="str">
        <f aca="false">IF(Q7=H7,"Match","Mismatch")</f>
        <v>Match</v>
      </c>
      <c r="S7" s="17" t="str">
        <f aca="false">IFERROR(INDEX(SubCatCat,MATCH(J7,SubCatName,0)),"Not found")</f>
        <v>Furniture</v>
      </c>
      <c r="T7" s="18" t="n">
        <f aca="false">IF(K7=0,0,N7/K7)</f>
        <v>0.29</v>
      </c>
      <c r="U7" s="17" t="str">
        <f aca="false">IF(N7&lt;0,"Loss",IF(T7&gt;=0.2,"High margin","Normal"))</f>
        <v>High margin</v>
      </c>
      <c r="V7" s="17" t="str">
        <f aca="false">IF(M7=0,"No discount",IF(M7&lt;=0.2,"Low",IF(M7&lt;=0.4,"Medium","High")))</f>
        <v>No discount</v>
      </c>
      <c r="W7" s="17" t="str">
        <f aca="false">IF(OR(B7="Same Day",B7="First Class"),"Fast","Standard")</f>
        <v>Standard</v>
      </c>
      <c r="X7" s="19" t="n">
        <f aca="false">ROUND(K7/L7,2)</f>
        <v>6.98</v>
      </c>
    </row>
    <row r="8" customFormat="false" ht="15" hidden="false" customHeight="false" outlineLevel="0" collapsed="false">
      <c r="A8" s="14" t="n">
        <v>7</v>
      </c>
      <c r="B8" s="14" t="s">
        <v>139</v>
      </c>
      <c r="C8" s="14" t="s">
        <v>7</v>
      </c>
      <c r="D8" s="14" t="s">
        <v>128</v>
      </c>
      <c r="E8" s="14" t="s">
        <v>136</v>
      </c>
      <c r="F8" s="14" t="s">
        <v>9</v>
      </c>
      <c r="G8" s="14" t="n">
        <v>90032</v>
      </c>
      <c r="H8" s="14" t="s">
        <v>3</v>
      </c>
      <c r="I8" s="14" t="s">
        <v>137</v>
      </c>
      <c r="J8" s="14" t="s">
        <v>145</v>
      </c>
      <c r="K8" s="15" t="n">
        <v>7.28</v>
      </c>
      <c r="L8" s="14" t="n">
        <v>4</v>
      </c>
      <c r="M8" s="16" t="n">
        <v>0</v>
      </c>
      <c r="N8" s="15" t="n">
        <v>1.9656</v>
      </c>
      <c r="O8" s="17" t="str">
        <f aca="false">UPPER(LEFT(F8,3))&amp;"-"&amp;G8</f>
        <v>CAL-90032</v>
      </c>
      <c r="P8" s="17" t="str">
        <f aca="false">PROPER(TRIM(E8))</f>
        <v>Los Angeles</v>
      </c>
      <c r="Q8" s="17" t="str">
        <f aca="false">IFERROR(VLOOKUP(F8,Lookups!$A$2:$B$50,2,FALSE()),"Not found")</f>
        <v>West</v>
      </c>
      <c r="R8" s="17" t="str">
        <f aca="false">IF(Q8=H8,"Match","Mismatch")</f>
        <v>Match</v>
      </c>
      <c r="S8" s="17" t="str">
        <f aca="false">IFERROR(INDEX(SubCatCat,MATCH(J8,SubCatName,0)),"Not found")</f>
        <v>Office Supplies</v>
      </c>
      <c r="T8" s="18" t="n">
        <f aca="false">IF(K8=0,0,N8/K8)</f>
        <v>0.27</v>
      </c>
      <c r="U8" s="17" t="str">
        <f aca="false">IF(N8&lt;0,"Loss",IF(T8&gt;=0.2,"High margin","Normal"))</f>
        <v>High margin</v>
      </c>
      <c r="V8" s="17" t="str">
        <f aca="false">IF(M8=0,"No discount",IF(M8&lt;=0.2,"Low",IF(M8&lt;=0.4,"Medium","High")))</f>
        <v>No discount</v>
      </c>
      <c r="W8" s="17" t="str">
        <f aca="false">IF(OR(B8="Same Day",B8="First Class"),"Fast","Standard")</f>
        <v>Standard</v>
      </c>
      <c r="X8" s="19" t="n">
        <f aca="false">ROUND(K8/L8,2)</f>
        <v>1.82</v>
      </c>
    </row>
    <row r="9" customFormat="false" ht="15" hidden="false" customHeight="false" outlineLevel="0" collapsed="false">
      <c r="A9" s="14" t="n">
        <v>8</v>
      </c>
      <c r="B9" s="14" t="s">
        <v>139</v>
      </c>
      <c r="C9" s="14" t="s">
        <v>7</v>
      </c>
      <c r="D9" s="14" t="s">
        <v>128</v>
      </c>
      <c r="E9" s="14" t="s">
        <v>136</v>
      </c>
      <c r="F9" s="14" t="s">
        <v>9</v>
      </c>
      <c r="G9" s="14" t="n">
        <v>90032</v>
      </c>
      <c r="H9" s="14" t="s">
        <v>3</v>
      </c>
      <c r="I9" s="14" t="s">
        <v>5</v>
      </c>
      <c r="J9" s="14" t="s">
        <v>11</v>
      </c>
      <c r="K9" s="15" t="n">
        <v>907.152</v>
      </c>
      <c r="L9" s="14" t="n">
        <v>6</v>
      </c>
      <c r="M9" s="16" t="n">
        <v>0.2</v>
      </c>
      <c r="N9" s="15" t="n">
        <v>90.7152</v>
      </c>
      <c r="O9" s="17" t="str">
        <f aca="false">UPPER(LEFT(F9,3))&amp;"-"&amp;G9</f>
        <v>CAL-90032</v>
      </c>
      <c r="P9" s="17" t="str">
        <f aca="false">PROPER(TRIM(E9))</f>
        <v>Los Angeles</v>
      </c>
      <c r="Q9" s="17" t="str">
        <f aca="false">IFERROR(VLOOKUP(F9,Lookups!$A$2:$B$50,2,FALSE()),"Not found")</f>
        <v>West</v>
      </c>
      <c r="R9" s="17" t="str">
        <f aca="false">IF(Q9=H9,"Match","Mismatch")</f>
        <v>Match</v>
      </c>
      <c r="S9" s="17" t="str">
        <f aca="false">IFERROR(INDEX(SubCatCat,MATCH(J9,SubCatName,0)),"Not found")</f>
        <v>Technology</v>
      </c>
      <c r="T9" s="18" t="n">
        <f aca="false">IF(K9=0,0,N9/K9)</f>
        <v>0.1</v>
      </c>
      <c r="U9" s="17" t="str">
        <f aca="false">IF(N9&lt;0,"Loss",IF(T9&gt;=0.2,"High margin","Normal"))</f>
        <v>Normal</v>
      </c>
      <c r="V9" s="17" t="str">
        <f aca="false">IF(M9=0,"No discount",IF(M9&lt;=0.2,"Low",IF(M9&lt;=0.4,"Medium","High")))</f>
        <v>Low</v>
      </c>
      <c r="W9" s="17" t="str">
        <f aca="false">IF(OR(B9="Same Day",B9="First Class"),"Fast","Standard")</f>
        <v>Standard</v>
      </c>
      <c r="X9" s="19" t="n">
        <f aca="false">ROUND(K9/L9,2)</f>
        <v>151.19</v>
      </c>
    </row>
    <row r="10" customFormat="false" ht="15" hidden="false" customHeight="false" outlineLevel="0" collapsed="false">
      <c r="A10" s="14" t="n">
        <v>9</v>
      </c>
      <c r="B10" s="14" t="s">
        <v>139</v>
      </c>
      <c r="C10" s="14" t="s">
        <v>7</v>
      </c>
      <c r="D10" s="14" t="s">
        <v>128</v>
      </c>
      <c r="E10" s="14" t="s">
        <v>136</v>
      </c>
      <c r="F10" s="14" t="s">
        <v>9</v>
      </c>
      <c r="G10" s="14" t="n">
        <v>90032</v>
      </c>
      <c r="H10" s="14" t="s">
        <v>3</v>
      </c>
      <c r="I10" s="14" t="s">
        <v>137</v>
      </c>
      <c r="J10" s="14" t="s">
        <v>146</v>
      </c>
      <c r="K10" s="15" t="n">
        <v>18.504</v>
      </c>
      <c r="L10" s="14" t="n">
        <v>3</v>
      </c>
      <c r="M10" s="16" t="n">
        <v>0.2</v>
      </c>
      <c r="N10" s="15" t="n">
        <v>5.7825</v>
      </c>
      <c r="O10" s="17" t="str">
        <f aca="false">UPPER(LEFT(F10,3))&amp;"-"&amp;G10</f>
        <v>CAL-90032</v>
      </c>
      <c r="P10" s="17" t="str">
        <f aca="false">PROPER(TRIM(E10))</f>
        <v>Los Angeles</v>
      </c>
      <c r="Q10" s="17" t="str">
        <f aca="false">IFERROR(VLOOKUP(F10,Lookups!$A$2:$B$50,2,FALSE()),"Not found")</f>
        <v>West</v>
      </c>
      <c r="R10" s="17" t="str">
        <f aca="false">IF(Q10=H10,"Match","Mismatch")</f>
        <v>Match</v>
      </c>
      <c r="S10" s="17" t="str">
        <f aca="false">IFERROR(INDEX(SubCatCat,MATCH(J10,SubCatName,0)),"Not found")</f>
        <v>Office Supplies</v>
      </c>
      <c r="T10" s="18" t="n">
        <f aca="false">IF(K10=0,0,N10/K10)</f>
        <v>0.3125</v>
      </c>
      <c r="U10" s="17" t="str">
        <f aca="false">IF(N10&lt;0,"Loss",IF(T10&gt;=0.2,"High margin","Normal"))</f>
        <v>High margin</v>
      </c>
      <c r="V10" s="17" t="str">
        <f aca="false">IF(M10=0,"No discount",IF(M10&lt;=0.2,"Low",IF(M10&lt;=0.4,"Medium","High")))</f>
        <v>Low</v>
      </c>
      <c r="W10" s="17" t="str">
        <f aca="false">IF(OR(B10="Same Day",B10="First Class"),"Fast","Standard")</f>
        <v>Standard</v>
      </c>
      <c r="X10" s="19" t="n">
        <f aca="false">ROUND(K10/L10,2)</f>
        <v>6.17</v>
      </c>
    </row>
    <row r="11" customFormat="false" ht="15" hidden="false" customHeight="false" outlineLevel="0" collapsed="false">
      <c r="A11" s="14" t="n">
        <v>10</v>
      </c>
      <c r="B11" s="14" t="s">
        <v>139</v>
      </c>
      <c r="C11" s="14" t="s">
        <v>7</v>
      </c>
      <c r="D11" s="14" t="s">
        <v>128</v>
      </c>
      <c r="E11" s="14" t="s">
        <v>136</v>
      </c>
      <c r="F11" s="14" t="s">
        <v>9</v>
      </c>
      <c r="G11" s="14" t="n">
        <v>90032</v>
      </c>
      <c r="H11" s="14" t="s">
        <v>3</v>
      </c>
      <c r="I11" s="14" t="s">
        <v>137</v>
      </c>
      <c r="J11" s="14" t="s">
        <v>147</v>
      </c>
      <c r="K11" s="15" t="n">
        <v>114.9</v>
      </c>
      <c r="L11" s="14" t="n">
        <v>5</v>
      </c>
      <c r="M11" s="16" t="n">
        <v>0</v>
      </c>
      <c r="N11" s="15" t="n">
        <v>34.47</v>
      </c>
      <c r="O11" s="17" t="str">
        <f aca="false">UPPER(LEFT(F11,3))&amp;"-"&amp;G11</f>
        <v>CAL-90032</v>
      </c>
      <c r="P11" s="17" t="str">
        <f aca="false">PROPER(TRIM(E11))</f>
        <v>Los Angeles</v>
      </c>
      <c r="Q11" s="17" t="str">
        <f aca="false">IFERROR(VLOOKUP(F11,Lookups!$A$2:$B$50,2,FALSE()),"Not found")</f>
        <v>West</v>
      </c>
      <c r="R11" s="17" t="str">
        <f aca="false">IF(Q11=H11,"Match","Mismatch")</f>
        <v>Match</v>
      </c>
      <c r="S11" s="17" t="str">
        <f aca="false">IFERROR(INDEX(SubCatCat,MATCH(J11,SubCatName,0)),"Not found")</f>
        <v>Office Supplies</v>
      </c>
      <c r="T11" s="18" t="n">
        <f aca="false">IF(K11=0,0,N11/K11)</f>
        <v>0.3</v>
      </c>
      <c r="U11" s="17" t="str">
        <f aca="false">IF(N11&lt;0,"Loss",IF(T11&gt;=0.2,"High margin","Normal"))</f>
        <v>High margin</v>
      </c>
      <c r="V11" s="17" t="str">
        <f aca="false">IF(M11=0,"No discount",IF(M11&lt;=0.2,"Low",IF(M11&lt;=0.4,"Medium","High")))</f>
        <v>No discount</v>
      </c>
      <c r="W11" s="17" t="str">
        <f aca="false">IF(OR(B11="Same Day",B11="First Class"),"Fast","Standard")</f>
        <v>Standard</v>
      </c>
      <c r="X11" s="19" t="n">
        <f aca="false">ROUND(K11/L11,2)</f>
        <v>22.98</v>
      </c>
    </row>
    <row r="12" customFormat="false" ht="15" hidden="false" customHeight="false" outlineLevel="0" collapsed="false">
      <c r="A12" s="14" t="n">
        <v>11</v>
      </c>
      <c r="B12" s="14" t="s">
        <v>139</v>
      </c>
      <c r="C12" s="14" t="s">
        <v>7</v>
      </c>
      <c r="D12" s="14" t="s">
        <v>128</v>
      </c>
      <c r="E12" s="14" t="s">
        <v>136</v>
      </c>
      <c r="F12" s="14" t="s">
        <v>9</v>
      </c>
      <c r="G12" s="14" t="n">
        <v>90032</v>
      </c>
      <c r="H12" s="14" t="s">
        <v>3</v>
      </c>
      <c r="I12" s="14" t="s">
        <v>132</v>
      </c>
      <c r="J12" s="14" t="s">
        <v>142</v>
      </c>
      <c r="K12" s="15" t="n">
        <v>1706.184</v>
      </c>
      <c r="L12" s="14" t="n">
        <v>9</v>
      </c>
      <c r="M12" s="16" t="n">
        <v>0.2</v>
      </c>
      <c r="N12" s="15" t="n">
        <v>85.3092</v>
      </c>
      <c r="O12" s="17" t="str">
        <f aca="false">UPPER(LEFT(F12,3))&amp;"-"&amp;G12</f>
        <v>CAL-90032</v>
      </c>
      <c r="P12" s="17" t="str">
        <f aca="false">PROPER(TRIM(E12))</f>
        <v>Los Angeles</v>
      </c>
      <c r="Q12" s="17" t="str">
        <f aca="false">IFERROR(VLOOKUP(F12,Lookups!$A$2:$B$50,2,FALSE()),"Not found")</f>
        <v>West</v>
      </c>
      <c r="R12" s="17" t="str">
        <f aca="false">IF(Q12=H12,"Match","Mismatch")</f>
        <v>Match</v>
      </c>
      <c r="S12" s="17" t="str">
        <f aca="false">IFERROR(INDEX(SubCatCat,MATCH(J12,SubCatName,0)),"Not found")</f>
        <v>Furniture</v>
      </c>
      <c r="T12" s="18" t="n">
        <f aca="false">IF(K12=0,0,N12/K12)</f>
        <v>0.05</v>
      </c>
      <c r="U12" s="17" t="str">
        <f aca="false">IF(N12&lt;0,"Loss",IF(T12&gt;=0.2,"High margin","Normal"))</f>
        <v>Normal</v>
      </c>
      <c r="V12" s="17" t="str">
        <f aca="false">IF(M12=0,"No discount",IF(M12&lt;=0.2,"Low",IF(M12&lt;=0.4,"Medium","High")))</f>
        <v>Low</v>
      </c>
      <c r="W12" s="17" t="str">
        <f aca="false">IF(OR(B12="Same Day",B12="First Class"),"Fast","Standard")</f>
        <v>Standard</v>
      </c>
      <c r="X12" s="19" t="n">
        <f aca="false">ROUND(K12/L12,2)</f>
        <v>189.58</v>
      </c>
    </row>
    <row r="13" customFormat="false" ht="15" hidden="false" customHeight="false" outlineLevel="0" collapsed="false">
      <c r="A13" s="14" t="n">
        <v>12</v>
      </c>
      <c r="B13" s="14" t="s">
        <v>139</v>
      </c>
      <c r="C13" s="14" t="s">
        <v>7</v>
      </c>
      <c r="D13" s="14" t="s">
        <v>128</v>
      </c>
      <c r="E13" s="14" t="s">
        <v>136</v>
      </c>
      <c r="F13" s="14" t="s">
        <v>9</v>
      </c>
      <c r="G13" s="14" t="n">
        <v>90032</v>
      </c>
      <c r="H13" s="14" t="s">
        <v>3</v>
      </c>
      <c r="I13" s="14" t="s">
        <v>5</v>
      </c>
      <c r="J13" s="14" t="s">
        <v>11</v>
      </c>
      <c r="K13" s="15" t="n">
        <v>911.424</v>
      </c>
      <c r="L13" s="14" t="n">
        <v>4</v>
      </c>
      <c r="M13" s="16" t="n">
        <v>0.2</v>
      </c>
      <c r="N13" s="15" t="n">
        <v>68.3568</v>
      </c>
      <c r="O13" s="17" t="str">
        <f aca="false">UPPER(LEFT(F13,3))&amp;"-"&amp;G13</f>
        <v>CAL-90032</v>
      </c>
      <c r="P13" s="17" t="str">
        <f aca="false">PROPER(TRIM(E13))</f>
        <v>Los Angeles</v>
      </c>
      <c r="Q13" s="17" t="str">
        <f aca="false">IFERROR(VLOOKUP(F13,Lookups!$A$2:$B$50,2,FALSE()),"Not found")</f>
        <v>West</v>
      </c>
      <c r="R13" s="17" t="str">
        <f aca="false">IF(Q13=H13,"Match","Mismatch")</f>
        <v>Match</v>
      </c>
      <c r="S13" s="17" t="str">
        <f aca="false">IFERROR(INDEX(SubCatCat,MATCH(J13,SubCatName,0)),"Not found")</f>
        <v>Technology</v>
      </c>
      <c r="T13" s="18" t="n">
        <f aca="false">IF(K13=0,0,N13/K13)</f>
        <v>0.075</v>
      </c>
      <c r="U13" s="17" t="str">
        <f aca="false">IF(N13&lt;0,"Loss",IF(T13&gt;=0.2,"High margin","Normal"))</f>
        <v>Normal</v>
      </c>
      <c r="V13" s="17" t="str">
        <f aca="false">IF(M13=0,"No discount",IF(M13&lt;=0.2,"Low",IF(M13&lt;=0.4,"Medium","High")))</f>
        <v>Low</v>
      </c>
      <c r="W13" s="17" t="str">
        <f aca="false">IF(OR(B13="Same Day",B13="First Class"),"Fast","Standard")</f>
        <v>Standard</v>
      </c>
      <c r="X13" s="19" t="n">
        <f aca="false">ROUND(K13/L13,2)</f>
        <v>227.86</v>
      </c>
    </row>
    <row r="14" customFormat="false" ht="15" hidden="false" customHeight="false" outlineLevel="0" collapsed="false">
      <c r="A14" s="14" t="n">
        <v>13</v>
      </c>
      <c r="B14" s="14" t="s">
        <v>139</v>
      </c>
      <c r="C14" s="14" t="s">
        <v>7</v>
      </c>
      <c r="D14" s="14" t="s">
        <v>128</v>
      </c>
      <c r="E14" s="14" t="s">
        <v>148</v>
      </c>
      <c r="F14" s="14" t="s">
        <v>149</v>
      </c>
      <c r="G14" s="14" t="n">
        <v>28027</v>
      </c>
      <c r="H14" s="14" t="s">
        <v>131</v>
      </c>
      <c r="I14" s="14" t="s">
        <v>137</v>
      </c>
      <c r="J14" s="14" t="s">
        <v>150</v>
      </c>
      <c r="K14" s="15" t="n">
        <v>15.552</v>
      </c>
      <c r="L14" s="14" t="n">
        <v>3</v>
      </c>
      <c r="M14" s="16" t="n">
        <v>0.2</v>
      </c>
      <c r="N14" s="15" t="n">
        <v>5.4432</v>
      </c>
      <c r="O14" s="17" t="str">
        <f aca="false">UPPER(LEFT(F14,3))&amp;"-"&amp;G14</f>
        <v>NOR-28027</v>
      </c>
      <c r="P14" s="17" t="str">
        <f aca="false">PROPER(TRIM(E14))</f>
        <v>Concord</v>
      </c>
      <c r="Q14" s="17" t="str">
        <f aca="false">IFERROR(VLOOKUP(F14,Lookups!$A$2:$B$50,2,FALSE()),"Not found")</f>
        <v>South</v>
      </c>
      <c r="R14" s="17" t="str">
        <f aca="false">IF(Q14=H14,"Match","Mismatch")</f>
        <v>Match</v>
      </c>
      <c r="S14" s="17" t="str">
        <f aca="false">IFERROR(INDEX(SubCatCat,MATCH(J14,SubCatName,0)),"Not found")</f>
        <v>Office Supplies</v>
      </c>
      <c r="T14" s="18" t="n">
        <f aca="false">IF(K14=0,0,N14/K14)</f>
        <v>0.35</v>
      </c>
      <c r="U14" s="17" t="str">
        <f aca="false">IF(N14&lt;0,"Loss",IF(T14&gt;=0.2,"High margin","Normal"))</f>
        <v>High margin</v>
      </c>
      <c r="V14" s="17" t="str">
        <f aca="false">IF(M14=0,"No discount",IF(M14&lt;=0.2,"Low",IF(M14&lt;=0.4,"Medium","High")))</f>
        <v>Low</v>
      </c>
      <c r="W14" s="17" t="str">
        <f aca="false">IF(OR(B14="Same Day",B14="First Class"),"Fast","Standard")</f>
        <v>Standard</v>
      </c>
      <c r="X14" s="19" t="n">
        <f aca="false">ROUND(K14/L14,2)</f>
        <v>5.18</v>
      </c>
    </row>
    <row r="15" customFormat="false" ht="15" hidden="false" customHeight="false" outlineLevel="0" collapsed="false">
      <c r="A15" s="14" t="n">
        <v>14</v>
      </c>
      <c r="B15" s="14" t="s">
        <v>139</v>
      </c>
      <c r="C15" s="14" t="s">
        <v>7</v>
      </c>
      <c r="D15" s="14" t="s">
        <v>128</v>
      </c>
      <c r="E15" s="14" t="s">
        <v>151</v>
      </c>
      <c r="F15" s="14" t="s">
        <v>152</v>
      </c>
      <c r="G15" s="14" t="n">
        <v>98103</v>
      </c>
      <c r="H15" s="14" t="s">
        <v>3</v>
      </c>
      <c r="I15" s="14" t="s">
        <v>137</v>
      </c>
      <c r="J15" s="14" t="s">
        <v>146</v>
      </c>
      <c r="K15" s="15" t="n">
        <v>407.976</v>
      </c>
      <c r="L15" s="14" t="n">
        <v>3</v>
      </c>
      <c r="M15" s="16" t="n">
        <v>0.2</v>
      </c>
      <c r="N15" s="15" t="n">
        <v>132.5922</v>
      </c>
      <c r="O15" s="17" t="str">
        <f aca="false">UPPER(LEFT(F15,3))&amp;"-"&amp;G15</f>
        <v>WAS-98103</v>
      </c>
      <c r="P15" s="17" t="str">
        <f aca="false">PROPER(TRIM(E15))</f>
        <v>Seattle</v>
      </c>
      <c r="Q15" s="17" t="str">
        <f aca="false">IFERROR(VLOOKUP(F15,Lookups!$A$2:$B$50,2,FALSE()),"Not found")</f>
        <v>West</v>
      </c>
      <c r="R15" s="17" t="str">
        <f aca="false">IF(Q15=H15,"Match","Mismatch")</f>
        <v>Match</v>
      </c>
      <c r="S15" s="17" t="str">
        <f aca="false">IFERROR(INDEX(SubCatCat,MATCH(J15,SubCatName,0)),"Not found")</f>
        <v>Office Supplies</v>
      </c>
      <c r="T15" s="18" t="n">
        <f aca="false">IF(K15=0,0,N15/K15)</f>
        <v>0.325</v>
      </c>
      <c r="U15" s="17" t="str">
        <f aca="false">IF(N15&lt;0,"Loss",IF(T15&gt;=0.2,"High margin","Normal"))</f>
        <v>High margin</v>
      </c>
      <c r="V15" s="17" t="str">
        <f aca="false">IF(M15=0,"No discount",IF(M15&lt;=0.2,"Low",IF(M15&lt;=0.4,"Medium","High")))</f>
        <v>Low</v>
      </c>
      <c r="W15" s="17" t="str">
        <f aca="false">IF(OR(B15="Same Day",B15="First Class"),"Fast","Standard")</f>
        <v>Standard</v>
      </c>
      <c r="X15" s="19" t="n">
        <f aca="false">ROUND(K15/L15,2)</f>
        <v>135.99</v>
      </c>
    </row>
    <row r="16" customFormat="false" ht="15" hidden="false" customHeight="false" outlineLevel="0" collapsed="false">
      <c r="A16" s="14" t="n">
        <v>15</v>
      </c>
      <c r="B16" s="14" t="s">
        <v>139</v>
      </c>
      <c r="C16" s="14" t="s">
        <v>153</v>
      </c>
      <c r="D16" s="14" t="s">
        <v>128</v>
      </c>
      <c r="E16" s="14" t="s">
        <v>154</v>
      </c>
      <c r="F16" s="14" t="s">
        <v>155</v>
      </c>
      <c r="G16" s="14" t="n">
        <v>76106</v>
      </c>
      <c r="H16" s="14" t="s">
        <v>156</v>
      </c>
      <c r="I16" s="14" t="s">
        <v>137</v>
      </c>
      <c r="J16" s="14" t="s">
        <v>147</v>
      </c>
      <c r="K16" s="15" t="n">
        <v>68.81</v>
      </c>
      <c r="L16" s="14" t="n">
        <v>5</v>
      </c>
      <c r="M16" s="16" t="n">
        <v>0.8</v>
      </c>
      <c r="N16" s="15" t="n">
        <v>-123.858</v>
      </c>
      <c r="O16" s="17" t="str">
        <f aca="false">UPPER(LEFT(F16,3))&amp;"-"&amp;G16</f>
        <v>TEX-76106</v>
      </c>
      <c r="P16" s="17" t="str">
        <f aca="false">PROPER(TRIM(E16))</f>
        <v>Fort Worth</v>
      </c>
      <c r="Q16" s="17" t="str">
        <f aca="false">IFERROR(VLOOKUP(F16,Lookups!$A$2:$B$50,2,FALSE()),"Not found")</f>
        <v>Central</v>
      </c>
      <c r="R16" s="17" t="str">
        <f aca="false">IF(Q16=H16,"Match","Mismatch")</f>
        <v>Match</v>
      </c>
      <c r="S16" s="17" t="str">
        <f aca="false">IFERROR(INDEX(SubCatCat,MATCH(J16,SubCatName,0)),"Not found")</f>
        <v>Office Supplies</v>
      </c>
      <c r="T16" s="18" t="n">
        <f aca="false">IF(K16=0,0,N16/K16)</f>
        <v>-1.8</v>
      </c>
      <c r="U16" s="17" t="str">
        <f aca="false">IF(N16&lt;0,"Loss",IF(T16&gt;=0.2,"High margin","Normal"))</f>
        <v>Loss</v>
      </c>
      <c r="V16" s="17" t="str">
        <f aca="false">IF(M16=0,"No discount",IF(M16&lt;=0.2,"Low",IF(M16&lt;=0.4,"Medium","High")))</f>
        <v>High</v>
      </c>
      <c r="W16" s="17" t="str">
        <f aca="false">IF(OR(B16="Same Day",B16="First Class"),"Fast","Standard")</f>
        <v>Standard</v>
      </c>
      <c r="X16" s="19" t="n">
        <f aca="false">ROUND(K16/L16,2)</f>
        <v>13.76</v>
      </c>
    </row>
    <row r="17" customFormat="false" ht="15" hidden="false" customHeight="false" outlineLevel="0" collapsed="false">
      <c r="A17" s="14" t="n">
        <v>16</v>
      </c>
      <c r="B17" s="14" t="s">
        <v>139</v>
      </c>
      <c r="C17" s="14" t="s">
        <v>153</v>
      </c>
      <c r="D17" s="14" t="s">
        <v>128</v>
      </c>
      <c r="E17" s="14" t="s">
        <v>154</v>
      </c>
      <c r="F17" s="14" t="s">
        <v>155</v>
      </c>
      <c r="G17" s="14" t="n">
        <v>76106</v>
      </c>
      <c r="H17" s="14" t="s">
        <v>156</v>
      </c>
      <c r="I17" s="14" t="s">
        <v>137</v>
      </c>
      <c r="J17" s="14" t="s">
        <v>146</v>
      </c>
      <c r="K17" s="15" t="n">
        <v>2.544</v>
      </c>
      <c r="L17" s="14" t="n">
        <v>3</v>
      </c>
      <c r="M17" s="16" t="n">
        <v>0.8</v>
      </c>
      <c r="N17" s="15" t="n">
        <v>-3.816</v>
      </c>
      <c r="O17" s="17" t="str">
        <f aca="false">UPPER(LEFT(F17,3))&amp;"-"&amp;G17</f>
        <v>TEX-76106</v>
      </c>
      <c r="P17" s="17" t="str">
        <f aca="false">PROPER(TRIM(E17))</f>
        <v>Fort Worth</v>
      </c>
      <c r="Q17" s="17" t="str">
        <f aca="false">IFERROR(VLOOKUP(F17,Lookups!$A$2:$B$50,2,FALSE()),"Not found")</f>
        <v>Central</v>
      </c>
      <c r="R17" s="17" t="str">
        <f aca="false">IF(Q17=H17,"Match","Mismatch")</f>
        <v>Match</v>
      </c>
      <c r="S17" s="17" t="str">
        <f aca="false">IFERROR(INDEX(SubCatCat,MATCH(J17,SubCatName,0)),"Not found")</f>
        <v>Office Supplies</v>
      </c>
      <c r="T17" s="18" t="n">
        <f aca="false">IF(K17=0,0,N17/K17)</f>
        <v>-1.5</v>
      </c>
      <c r="U17" s="17" t="str">
        <f aca="false">IF(N17&lt;0,"Loss",IF(T17&gt;=0.2,"High margin","Normal"))</f>
        <v>Loss</v>
      </c>
      <c r="V17" s="17" t="str">
        <f aca="false">IF(M17=0,"No discount",IF(M17&lt;=0.2,"Low",IF(M17&lt;=0.4,"Medium","High")))</f>
        <v>High</v>
      </c>
      <c r="W17" s="17" t="str">
        <f aca="false">IF(OR(B17="Same Day",B17="First Class"),"Fast","Standard")</f>
        <v>Standard</v>
      </c>
      <c r="X17" s="19" t="n">
        <f aca="false">ROUND(K17/L17,2)</f>
        <v>0.85</v>
      </c>
    </row>
    <row r="18" customFormat="false" ht="15" hidden="false" customHeight="false" outlineLevel="0" collapsed="false">
      <c r="A18" s="14" t="n">
        <v>17</v>
      </c>
      <c r="B18" s="14" t="s">
        <v>139</v>
      </c>
      <c r="C18" s="14" t="s">
        <v>7</v>
      </c>
      <c r="D18" s="14" t="s">
        <v>128</v>
      </c>
      <c r="E18" s="14" t="s">
        <v>157</v>
      </c>
      <c r="F18" s="14" t="s">
        <v>158</v>
      </c>
      <c r="G18" s="14" t="n">
        <v>53711</v>
      </c>
      <c r="H18" s="14" t="s">
        <v>156</v>
      </c>
      <c r="I18" s="14" t="s">
        <v>137</v>
      </c>
      <c r="J18" s="14" t="s">
        <v>143</v>
      </c>
      <c r="K18" s="15" t="n">
        <v>665.88</v>
      </c>
      <c r="L18" s="14" t="n">
        <v>6</v>
      </c>
      <c r="M18" s="16" t="n">
        <v>0</v>
      </c>
      <c r="N18" s="15" t="n">
        <v>13.3176</v>
      </c>
      <c r="O18" s="17" t="str">
        <f aca="false">UPPER(LEFT(F18,3))&amp;"-"&amp;G18</f>
        <v>WIS-53711</v>
      </c>
      <c r="P18" s="17" t="str">
        <f aca="false">PROPER(TRIM(E18))</f>
        <v>Madison</v>
      </c>
      <c r="Q18" s="17" t="str">
        <f aca="false">IFERROR(VLOOKUP(F18,Lookups!$A$2:$B$50,2,FALSE()),"Not found")</f>
        <v>Central</v>
      </c>
      <c r="R18" s="17" t="str">
        <f aca="false">IF(Q18=H18,"Match","Mismatch")</f>
        <v>Match</v>
      </c>
      <c r="S18" s="17" t="str">
        <f aca="false">IFERROR(INDEX(SubCatCat,MATCH(J18,SubCatName,0)),"Not found")</f>
        <v>Office Supplies</v>
      </c>
      <c r="T18" s="18" t="n">
        <f aca="false">IF(K18=0,0,N18/K18)</f>
        <v>0.02</v>
      </c>
      <c r="U18" s="17" t="str">
        <f aca="false">IF(N18&lt;0,"Loss",IF(T18&gt;=0.2,"High margin","Normal"))</f>
        <v>Normal</v>
      </c>
      <c r="V18" s="17" t="str">
        <f aca="false">IF(M18=0,"No discount",IF(M18&lt;=0.2,"Low",IF(M18&lt;=0.4,"Medium","High")))</f>
        <v>No discount</v>
      </c>
      <c r="W18" s="17" t="str">
        <f aca="false">IF(OR(B18="Same Day",B18="First Class"),"Fast","Standard")</f>
        <v>Standard</v>
      </c>
      <c r="X18" s="19" t="n">
        <f aca="false">ROUND(K18/L18,2)</f>
        <v>110.98</v>
      </c>
    </row>
    <row r="19" customFormat="false" ht="15" hidden="false" customHeight="false" outlineLevel="0" collapsed="false">
      <c r="A19" s="14" t="n">
        <v>18</v>
      </c>
      <c r="B19" s="14" t="s">
        <v>127</v>
      </c>
      <c r="C19" s="14" t="s">
        <v>7</v>
      </c>
      <c r="D19" s="14" t="s">
        <v>128</v>
      </c>
      <c r="E19" s="14" t="s">
        <v>159</v>
      </c>
      <c r="F19" s="14" t="s">
        <v>160</v>
      </c>
      <c r="G19" s="14" t="n">
        <v>84084</v>
      </c>
      <c r="H19" s="14" t="s">
        <v>3</v>
      </c>
      <c r="I19" s="14" t="s">
        <v>137</v>
      </c>
      <c r="J19" s="14" t="s">
        <v>143</v>
      </c>
      <c r="K19" s="15" t="n">
        <v>55.5</v>
      </c>
      <c r="L19" s="14" t="n">
        <v>2</v>
      </c>
      <c r="M19" s="16" t="n">
        <v>0</v>
      </c>
      <c r="N19" s="15" t="n">
        <v>9.99</v>
      </c>
      <c r="O19" s="17" t="str">
        <f aca="false">UPPER(LEFT(F19,3))&amp;"-"&amp;G19</f>
        <v>UTA-84084</v>
      </c>
      <c r="P19" s="17" t="str">
        <f aca="false">PROPER(TRIM(E19))</f>
        <v>West Jordan</v>
      </c>
      <c r="Q19" s="17" t="str">
        <f aca="false">IFERROR(VLOOKUP(F19,Lookups!$A$2:$B$50,2,FALSE()),"Not found")</f>
        <v>West</v>
      </c>
      <c r="R19" s="17" t="str">
        <f aca="false">IF(Q19=H19,"Match","Mismatch")</f>
        <v>Match</v>
      </c>
      <c r="S19" s="17" t="str">
        <f aca="false">IFERROR(INDEX(SubCatCat,MATCH(J19,SubCatName,0)),"Not found")</f>
        <v>Office Supplies</v>
      </c>
      <c r="T19" s="18" t="n">
        <f aca="false">IF(K19=0,0,N19/K19)</f>
        <v>0.18</v>
      </c>
      <c r="U19" s="17" t="str">
        <f aca="false">IF(N19&lt;0,"Loss",IF(T19&gt;=0.2,"High margin","Normal"))</f>
        <v>Normal</v>
      </c>
      <c r="V19" s="17" t="str">
        <f aca="false">IF(M19=0,"No discount",IF(M19&lt;=0.2,"Low",IF(M19&lt;=0.4,"Medium","High")))</f>
        <v>No discount</v>
      </c>
      <c r="W19" s="17" t="str">
        <f aca="false">IF(OR(B19="Same Day",B19="First Class"),"Fast","Standard")</f>
        <v>Standard</v>
      </c>
      <c r="X19" s="19" t="n">
        <f aca="false">ROUND(K19/L19,2)</f>
        <v>27.75</v>
      </c>
    </row>
    <row r="20" customFormat="false" ht="15" hidden="false" customHeight="false" outlineLevel="0" collapsed="false">
      <c r="A20" s="14" t="n">
        <v>19</v>
      </c>
      <c r="B20" s="14" t="s">
        <v>127</v>
      </c>
      <c r="C20" s="14" t="s">
        <v>7</v>
      </c>
      <c r="D20" s="14" t="s">
        <v>128</v>
      </c>
      <c r="E20" s="14" t="s">
        <v>161</v>
      </c>
      <c r="F20" s="14" t="s">
        <v>9</v>
      </c>
      <c r="G20" s="14" t="n">
        <v>94109</v>
      </c>
      <c r="H20" s="14" t="s">
        <v>3</v>
      </c>
      <c r="I20" s="14" t="s">
        <v>137</v>
      </c>
      <c r="J20" s="14" t="s">
        <v>145</v>
      </c>
      <c r="K20" s="15" t="n">
        <v>8.56</v>
      </c>
      <c r="L20" s="14" t="n">
        <v>2</v>
      </c>
      <c r="M20" s="16" t="n">
        <v>0</v>
      </c>
      <c r="N20" s="15" t="n">
        <v>2.4824</v>
      </c>
      <c r="O20" s="17" t="str">
        <f aca="false">UPPER(LEFT(F20,3))&amp;"-"&amp;G20</f>
        <v>CAL-94109</v>
      </c>
      <c r="P20" s="17" t="str">
        <f aca="false">PROPER(TRIM(E20))</f>
        <v>San Francisco</v>
      </c>
      <c r="Q20" s="17" t="str">
        <f aca="false">IFERROR(VLOOKUP(F20,Lookups!$A$2:$B$50,2,FALSE()),"Not found")</f>
        <v>West</v>
      </c>
      <c r="R20" s="17" t="str">
        <f aca="false">IF(Q20=H20,"Match","Mismatch")</f>
        <v>Match</v>
      </c>
      <c r="S20" s="17" t="str">
        <f aca="false">IFERROR(INDEX(SubCatCat,MATCH(J20,SubCatName,0)),"Not found")</f>
        <v>Office Supplies</v>
      </c>
      <c r="T20" s="18" t="n">
        <f aca="false">IF(K20=0,0,N20/K20)</f>
        <v>0.29</v>
      </c>
      <c r="U20" s="17" t="str">
        <f aca="false">IF(N20&lt;0,"Loss",IF(T20&gt;=0.2,"High margin","Normal"))</f>
        <v>High margin</v>
      </c>
      <c r="V20" s="17" t="str">
        <f aca="false">IF(M20=0,"No discount",IF(M20&lt;=0.2,"Low",IF(M20&lt;=0.4,"Medium","High")))</f>
        <v>No discount</v>
      </c>
      <c r="W20" s="17" t="str">
        <f aca="false">IF(OR(B20="Same Day",B20="First Class"),"Fast","Standard")</f>
        <v>Standard</v>
      </c>
      <c r="X20" s="19" t="n">
        <f aca="false">ROUND(K20/L20,2)</f>
        <v>4.28</v>
      </c>
    </row>
    <row r="21" customFormat="false" ht="15" hidden="false" customHeight="false" outlineLevel="0" collapsed="false">
      <c r="A21" s="14" t="n">
        <v>20</v>
      </c>
      <c r="B21" s="14" t="s">
        <v>127</v>
      </c>
      <c r="C21" s="14" t="s">
        <v>7</v>
      </c>
      <c r="D21" s="14" t="s">
        <v>128</v>
      </c>
      <c r="E21" s="14" t="s">
        <v>161</v>
      </c>
      <c r="F21" s="14" t="s">
        <v>9</v>
      </c>
      <c r="G21" s="14" t="n">
        <v>94109</v>
      </c>
      <c r="H21" s="14" t="s">
        <v>3</v>
      </c>
      <c r="I21" s="14" t="s">
        <v>5</v>
      </c>
      <c r="J21" s="14" t="s">
        <v>11</v>
      </c>
      <c r="K21" s="15" t="n">
        <v>213.48</v>
      </c>
      <c r="L21" s="14" t="n">
        <v>3</v>
      </c>
      <c r="M21" s="16" t="n">
        <v>0.2</v>
      </c>
      <c r="N21" s="15" t="n">
        <v>16.011</v>
      </c>
      <c r="O21" s="17" t="str">
        <f aca="false">UPPER(LEFT(F21,3))&amp;"-"&amp;G21</f>
        <v>CAL-94109</v>
      </c>
      <c r="P21" s="17" t="str">
        <f aca="false">PROPER(TRIM(E21))</f>
        <v>San Francisco</v>
      </c>
      <c r="Q21" s="17" t="str">
        <f aca="false">IFERROR(VLOOKUP(F21,Lookups!$A$2:$B$50,2,FALSE()),"Not found")</f>
        <v>West</v>
      </c>
      <c r="R21" s="17" t="str">
        <f aca="false">IF(Q21=H21,"Match","Mismatch")</f>
        <v>Match</v>
      </c>
      <c r="S21" s="17" t="str">
        <f aca="false">IFERROR(INDEX(SubCatCat,MATCH(J21,SubCatName,0)),"Not found")</f>
        <v>Technology</v>
      </c>
      <c r="T21" s="18" t="n">
        <f aca="false">IF(K21=0,0,N21/K21)</f>
        <v>0.075</v>
      </c>
      <c r="U21" s="17" t="str">
        <f aca="false">IF(N21&lt;0,"Loss",IF(T21&gt;=0.2,"High margin","Normal"))</f>
        <v>Normal</v>
      </c>
      <c r="V21" s="17" t="str">
        <f aca="false">IF(M21=0,"No discount",IF(M21&lt;=0.2,"Low",IF(M21&lt;=0.4,"Medium","High")))</f>
        <v>Low</v>
      </c>
      <c r="W21" s="17" t="str">
        <f aca="false">IF(OR(B21="Same Day",B21="First Class"),"Fast","Standard")</f>
        <v>Standard</v>
      </c>
      <c r="X21" s="19" t="n">
        <f aca="false">ROUND(K21/L21,2)</f>
        <v>71.16</v>
      </c>
    </row>
    <row r="22" customFormat="false" ht="15" hidden="false" customHeight="false" outlineLevel="0" collapsed="false">
      <c r="A22" s="14" t="n">
        <v>21</v>
      </c>
      <c r="B22" s="14" t="s">
        <v>127</v>
      </c>
      <c r="C22" s="14" t="s">
        <v>7</v>
      </c>
      <c r="D22" s="14" t="s">
        <v>128</v>
      </c>
      <c r="E22" s="14" t="s">
        <v>161</v>
      </c>
      <c r="F22" s="14" t="s">
        <v>9</v>
      </c>
      <c r="G22" s="14" t="n">
        <v>94109</v>
      </c>
      <c r="H22" s="14" t="s">
        <v>3</v>
      </c>
      <c r="I22" s="14" t="s">
        <v>137</v>
      </c>
      <c r="J22" s="14" t="s">
        <v>146</v>
      </c>
      <c r="K22" s="15" t="n">
        <v>22.72</v>
      </c>
      <c r="L22" s="14" t="n">
        <v>4</v>
      </c>
      <c r="M22" s="16" t="n">
        <v>0.2</v>
      </c>
      <c r="N22" s="15" t="n">
        <v>7.384</v>
      </c>
      <c r="O22" s="17" t="str">
        <f aca="false">UPPER(LEFT(F22,3))&amp;"-"&amp;G22</f>
        <v>CAL-94109</v>
      </c>
      <c r="P22" s="17" t="str">
        <f aca="false">PROPER(TRIM(E22))</f>
        <v>San Francisco</v>
      </c>
      <c r="Q22" s="17" t="str">
        <f aca="false">IFERROR(VLOOKUP(F22,Lookups!$A$2:$B$50,2,FALSE()),"Not found")</f>
        <v>West</v>
      </c>
      <c r="R22" s="17" t="str">
        <f aca="false">IF(Q22=H22,"Match","Mismatch")</f>
        <v>Match</v>
      </c>
      <c r="S22" s="17" t="str">
        <f aca="false">IFERROR(INDEX(SubCatCat,MATCH(J22,SubCatName,0)),"Not found")</f>
        <v>Office Supplies</v>
      </c>
      <c r="T22" s="18" t="n">
        <f aca="false">IF(K22=0,0,N22/K22)</f>
        <v>0.325</v>
      </c>
      <c r="U22" s="17" t="str">
        <f aca="false">IF(N22&lt;0,"Loss",IF(T22&gt;=0.2,"High margin","Normal"))</f>
        <v>High margin</v>
      </c>
      <c r="V22" s="17" t="str">
        <f aca="false">IF(M22=0,"No discount",IF(M22&lt;=0.2,"Low",IF(M22&lt;=0.4,"Medium","High")))</f>
        <v>Low</v>
      </c>
      <c r="W22" s="17" t="str">
        <f aca="false">IF(OR(B22="Same Day",B22="First Class"),"Fast","Standard")</f>
        <v>Standard</v>
      </c>
      <c r="X22" s="19" t="n">
        <f aca="false">ROUND(K22/L22,2)</f>
        <v>5.68</v>
      </c>
    </row>
    <row r="23" customFormat="false" ht="15" hidden="false" customHeight="false" outlineLevel="0" collapsed="false">
      <c r="A23" s="14" t="n">
        <v>22</v>
      </c>
      <c r="B23" s="14" t="s">
        <v>139</v>
      </c>
      <c r="C23" s="14" t="s">
        <v>135</v>
      </c>
      <c r="D23" s="14" t="s">
        <v>128</v>
      </c>
      <c r="E23" s="14" t="s">
        <v>162</v>
      </c>
      <c r="F23" s="14" t="s">
        <v>163</v>
      </c>
      <c r="G23" s="14" t="n">
        <v>68025</v>
      </c>
      <c r="H23" s="14" t="s">
        <v>156</v>
      </c>
      <c r="I23" s="14" t="s">
        <v>137</v>
      </c>
      <c r="J23" s="14" t="s">
        <v>145</v>
      </c>
      <c r="K23" s="15" t="n">
        <v>19.46</v>
      </c>
      <c r="L23" s="14" t="n">
        <v>7</v>
      </c>
      <c r="M23" s="16" t="n">
        <v>0</v>
      </c>
      <c r="N23" s="15" t="n">
        <v>5.0596</v>
      </c>
      <c r="O23" s="17" t="str">
        <f aca="false">UPPER(LEFT(F23,3))&amp;"-"&amp;G23</f>
        <v>NEB-68025</v>
      </c>
      <c r="P23" s="17" t="str">
        <f aca="false">PROPER(TRIM(E23))</f>
        <v>Fremont</v>
      </c>
      <c r="Q23" s="17" t="str">
        <f aca="false">IFERROR(VLOOKUP(F23,Lookups!$A$2:$B$50,2,FALSE()),"Not found")</f>
        <v>Central</v>
      </c>
      <c r="R23" s="17" t="str">
        <f aca="false">IF(Q23=H23,"Match","Mismatch")</f>
        <v>Match</v>
      </c>
      <c r="S23" s="17" t="str">
        <f aca="false">IFERROR(INDEX(SubCatCat,MATCH(J23,SubCatName,0)),"Not found")</f>
        <v>Office Supplies</v>
      </c>
      <c r="T23" s="18" t="n">
        <f aca="false">IF(K23=0,0,N23/K23)</f>
        <v>0.26</v>
      </c>
      <c r="U23" s="17" t="str">
        <f aca="false">IF(N23&lt;0,"Loss",IF(T23&gt;=0.2,"High margin","Normal"))</f>
        <v>High margin</v>
      </c>
      <c r="V23" s="17" t="str">
        <f aca="false">IF(M23=0,"No discount",IF(M23&lt;=0.2,"Low",IF(M23&lt;=0.4,"Medium","High")))</f>
        <v>No discount</v>
      </c>
      <c r="W23" s="17" t="str">
        <f aca="false">IF(OR(B23="Same Day",B23="First Class"),"Fast","Standard")</f>
        <v>Standard</v>
      </c>
      <c r="X23" s="19" t="n">
        <f aca="false">ROUND(K23/L23,2)</f>
        <v>2.78</v>
      </c>
    </row>
    <row r="24" customFormat="false" ht="15" hidden="false" customHeight="false" outlineLevel="0" collapsed="false">
      <c r="A24" s="14" t="n">
        <v>23</v>
      </c>
      <c r="B24" s="14" t="s">
        <v>139</v>
      </c>
      <c r="C24" s="14" t="s">
        <v>135</v>
      </c>
      <c r="D24" s="14" t="s">
        <v>128</v>
      </c>
      <c r="E24" s="14" t="s">
        <v>162</v>
      </c>
      <c r="F24" s="14" t="s">
        <v>163</v>
      </c>
      <c r="G24" s="14" t="n">
        <v>68025</v>
      </c>
      <c r="H24" s="14" t="s">
        <v>156</v>
      </c>
      <c r="I24" s="14" t="s">
        <v>137</v>
      </c>
      <c r="J24" s="14" t="s">
        <v>147</v>
      </c>
      <c r="K24" s="15" t="n">
        <v>60.34</v>
      </c>
      <c r="L24" s="14" t="n">
        <v>7</v>
      </c>
      <c r="M24" s="16" t="n">
        <v>0</v>
      </c>
      <c r="N24" s="15" t="n">
        <v>15.6884</v>
      </c>
      <c r="O24" s="17" t="str">
        <f aca="false">UPPER(LEFT(F24,3))&amp;"-"&amp;G24</f>
        <v>NEB-68025</v>
      </c>
      <c r="P24" s="17" t="str">
        <f aca="false">PROPER(TRIM(E24))</f>
        <v>Fremont</v>
      </c>
      <c r="Q24" s="17" t="str">
        <f aca="false">IFERROR(VLOOKUP(F24,Lookups!$A$2:$B$50,2,FALSE()),"Not found")</f>
        <v>Central</v>
      </c>
      <c r="R24" s="17" t="str">
        <f aca="false">IF(Q24=H24,"Match","Mismatch")</f>
        <v>Match</v>
      </c>
      <c r="S24" s="17" t="str">
        <f aca="false">IFERROR(INDEX(SubCatCat,MATCH(J24,SubCatName,0)),"Not found")</f>
        <v>Office Supplies</v>
      </c>
      <c r="T24" s="18" t="n">
        <f aca="false">IF(K24=0,0,N24/K24)</f>
        <v>0.26</v>
      </c>
      <c r="U24" s="17" t="str">
        <f aca="false">IF(N24&lt;0,"Loss",IF(T24&gt;=0.2,"High margin","Normal"))</f>
        <v>High margin</v>
      </c>
      <c r="V24" s="17" t="str">
        <f aca="false">IF(M24=0,"No discount",IF(M24&lt;=0.2,"Low",IF(M24&lt;=0.4,"Medium","High")))</f>
        <v>No discount</v>
      </c>
      <c r="W24" s="17" t="str">
        <f aca="false">IF(OR(B24="Same Day",B24="First Class"),"Fast","Standard")</f>
        <v>Standard</v>
      </c>
      <c r="X24" s="19" t="n">
        <f aca="false">ROUND(K24/L24,2)</f>
        <v>8.62</v>
      </c>
    </row>
    <row r="25" customFormat="false" ht="15" hidden="false" customHeight="false" outlineLevel="0" collapsed="false">
      <c r="A25" s="14" t="n">
        <v>24</v>
      </c>
      <c r="B25" s="14" t="s">
        <v>127</v>
      </c>
      <c r="C25" s="14" t="s">
        <v>7</v>
      </c>
      <c r="D25" s="14" t="s">
        <v>128</v>
      </c>
      <c r="E25" s="14" t="s">
        <v>164</v>
      </c>
      <c r="F25" s="14" t="s">
        <v>165</v>
      </c>
      <c r="G25" s="14" t="n">
        <v>19140</v>
      </c>
      <c r="H25" s="14" t="s">
        <v>166</v>
      </c>
      <c r="I25" s="14" t="s">
        <v>132</v>
      </c>
      <c r="J25" s="14" t="s">
        <v>134</v>
      </c>
      <c r="K25" s="15" t="n">
        <v>71.372</v>
      </c>
      <c r="L25" s="14" t="n">
        <v>2</v>
      </c>
      <c r="M25" s="16" t="n">
        <v>0.3</v>
      </c>
      <c r="N25" s="15" t="n">
        <v>-1.0196</v>
      </c>
      <c r="O25" s="17" t="str">
        <f aca="false">UPPER(LEFT(F25,3))&amp;"-"&amp;G25</f>
        <v>PEN-19140</v>
      </c>
      <c r="P25" s="17" t="str">
        <f aca="false">PROPER(TRIM(E25))</f>
        <v>Philadelphia</v>
      </c>
      <c r="Q25" s="17" t="str">
        <f aca="false">IFERROR(VLOOKUP(F25,Lookups!$A$2:$B$50,2,FALSE()),"Not found")</f>
        <v>East</v>
      </c>
      <c r="R25" s="17" t="str">
        <f aca="false">IF(Q25=H25,"Match","Mismatch")</f>
        <v>Match</v>
      </c>
      <c r="S25" s="17" t="str">
        <f aca="false">IFERROR(INDEX(SubCatCat,MATCH(J25,SubCatName,0)),"Not found")</f>
        <v>Furniture</v>
      </c>
      <c r="T25" s="18" t="n">
        <f aca="false">IF(K25=0,0,N25/K25)</f>
        <v>-0.0142857142857143</v>
      </c>
      <c r="U25" s="17" t="str">
        <f aca="false">IF(N25&lt;0,"Loss",IF(T25&gt;=0.2,"High margin","Normal"))</f>
        <v>Loss</v>
      </c>
      <c r="V25" s="17" t="str">
        <f aca="false">IF(M25=0,"No discount",IF(M25&lt;=0.2,"Low",IF(M25&lt;=0.4,"Medium","High")))</f>
        <v>Medium</v>
      </c>
      <c r="W25" s="17" t="str">
        <f aca="false">IF(OR(B25="Same Day",B25="First Class"),"Fast","Standard")</f>
        <v>Standard</v>
      </c>
      <c r="X25" s="19" t="n">
        <f aca="false">ROUND(K25/L25,2)</f>
        <v>35.69</v>
      </c>
    </row>
    <row r="26" customFormat="false" ht="15" hidden="false" customHeight="false" outlineLevel="0" collapsed="false">
      <c r="A26" s="14" t="n">
        <v>25</v>
      </c>
      <c r="B26" s="14" t="s">
        <v>139</v>
      </c>
      <c r="C26" s="14" t="s">
        <v>7</v>
      </c>
      <c r="D26" s="14" t="s">
        <v>128</v>
      </c>
      <c r="E26" s="14" t="s">
        <v>167</v>
      </c>
      <c r="F26" s="14" t="s">
        <v>160</v>
      </c>
      <c r="G26" s="14" t="n">
        <v>84057</v>
      </c>
      <c r="H26" s="14" t="s">
        <v>3</v>
      </c>
      <c r="I26" s="14" t="s">
        <v>132</v>
      </c>
      <c r="J26" s="14" t="s">
        <v>142</v>
      </c>
      <c r="K26" s="15" t="n">
        <v>1044.63</v>
      </c>
      <c r="L26" s="14" t="n">
        <v>3</v>
      </c>
      <c r="M26" s="16" t="n">
        <v>0</v>
      </c>
      <c r="N26" s="15" t="n">
        <v>240.2649</v>
      </c>
      <c r="O26" s="17" t="str">
        <f aca="false">UPPER(LEFT(F26,3))&amp;"-"&amp;G26</f>
        <v>UTA-84057</v>
      </c>
      <c r="P26" s="17" t="str">
        <f aca="false">PROPER(TRIM(E26))</f>
        <v>Orem</v>
      </c>
      <c r="Q26" s="17" t="str">
        <f aca="false">IFERROR(VLOOKUP(F26,Lookups!$A$2:$B$50,2,FALSE()),"Not found")</f>
        <v>West</v>
      </c>
      <c r="R26" s="17" t="str">
        <f aca="false">IF(Q26=H26,"Match","Mismatch")</f>
        <v>Match</v>
      </c>
      <c r="S26" s="17" t="str">
        <f aca="false">IFERROR(INDEX(SubCatCat,MATCH(J26,SubCatName,0)),"Not found")</f>
        <v>Furniture</v>
      </c>
      <c r="T26" s="18" t="n">
        <f aca="false">IF(K26=0,0,N26/K26)</f>
        <v>0.23</v>
      </c>
      <c r="U26" s="17" t="str">
        <f aca="false">IF(N26&lt;0,"Loss",IF(T26&gt;=0.2,"High margin","Normal"))</f>
        <v>High margin</v>
      </c>
      <c r="V26" s="17" t="str">
        <f aca="false">IF(M26=0,"No discount",IF(M26&lt;=0.2,"Low",IF(M26&lt;=0.4,"Medium","High")))</f>
        <v>No discount</v>
      </c>
      <c r="W26" s="17" t="str">
        <f aca="false">IF(OR(B26="Same Day",B26="First Class"),"Fast","Standard")</f>
        <v>Standard</v>
      </c>
      <c r="X26" s="19" t="n">
        <f aca="false">ROUND(K26/L26,2)</f>
        <v>348.21</v>
      </c>
    </row>
    <row r="27" customFormat="false" ht="15" hidden="false" customHeight="false" outlineLevel="0" collapsed="false">
      <c r="A27" s="14" t="n">
        <v>26</v>
      </c>
      <c r="B27" s="14" t="s">
        <v>127</v>
      </c>
      <c r="C27" s="14" t="s">
        <v>7</v>
      </c>
      <c r="D27" s="14" t="s">
        <v>128</v>
      </c>
      <c r="E27" s="14" t="s">
        <v>136</v>
      </c>
      <c r="F27" s="14" t="s">
        <v>9</v>
      </c>
      <c r="G27" s="14" t="n">
        <v>90049</v>
      </c>
      <c r="H27" s="14" t="s">
        <v>3</v>
      </c>
      <c r="I27" s="14" t="s">
        <v>137</v>
      </c>
      <c r="J27" s="14" t="s">
        <v>146</v>
      </c>
      <c r="K27" s="15" t="n">
        <v>11.648</v>
      </c>
      <c r="L27" s="14" t="n">
        <v>2</v>
      </c>
      <c r="M27" s="16" t="n">
        <v>0.2</v>
      </c>
      <c r="N27" s="15" t="n">
        <v>4.2224</v>
      </c>
      <c r="O27" s="17" t="str">
        <f aca="false">UPPER(LEFT(F27,3))&amp;"-"&amp;G27</f>
        <v>CAL-90049</v>
      </c>
      <c r="P27" s="17" t="str">
        <f aca="false">PROPER(TRIM(E27))</f>
        <v>Los Angeles</v>
      </c>
      <c r="Q27" s="17" t="str">
        <f aca="false">IFERROR(VLOOKUP(F27,Lookups!$A$2:$B$50,2,FALSE()),"Not found")</f>
        <v>West</v>
      </c>
      <c r="R27" s="17" t="str">
        <f aca="false">IF(Q27=H27,"Match","Mismatch")</f>
        <v>Match</v>
      </c>
      <c r="S27" s="17" t="str">
        <f aca="false">IFERROR(INDEX(SubCatCat,MATCH(J27,SubCatName,0)),"Not found")</f>
        <v>Office Supplies</v>
      </c>
      <c r="T27" s="18" t="n">
        <f aca="false">IF(K27=0,0,N27/K27)</f>
        <v>0.3625</v>
      </c>
      <c r="U27" s="17" t="str">
        <f aca="false">IF(N27&lt;0,"Loss",IF(T27&gt;=0.2,"High margin","Normal"))</f>
        <v>High margin</v>
      </c>
      <c r="V27" s="17" t="str">
        <f aca="false">IF(M27=0,"No discount",IF(M27&lt;=0.2,"Low",IF(M27&lt;=0.4,"Medium","High")))</f>
        <v>Low</v>
      </c>
      <c r="W27" s="17" t="str">
        <f aca="false">IF(OR(B27="Same Day",B27="First Class"),"Fast","Standard")</f>
        <v>Standard</v>
      </c>
      <c r="X27" s="19" t="n">
        <f aca="false">ROUND(K27/L27,2)</f>
        <v>5.82</v>
      </c>
    </row>
    <row r="28" customFormat="false" ht="15" hidden="false" customHeight="false" outlineLevel="0" collapsed="false">
      <c r="A28" s="14" t="n">
        <v>27</v>
      </c>
      <c r="B28" s="14" t="s">
        <v>127</v>
      </c>
      <c r="C28" s="14" t="s">
        <v>7</v>
      </c>
      <c r="D28" s="14" t="s">
        <v>128</v>
      </c>
      <c r="E28" s="14" t="s">
        <v>136</v>
      </c>
      <c r="F28" s="14" t="s">
        <v>9</v>
      </c>
      <c r="G28" s="14" t="n">
        <v>90049</v>
      </c>
      <c r="H28" s="14" t="s">
        <v>3</v>
      </c>
      <c r="I28" s="14" t="s">
        <v>5</v>
      </c>
      <c r="J28" s="14" t="s">
        <v>168</v>
      </c>
      <c r="K28" s="15" t="n">
        <v>90.57</v>
      </c>
      <c r="L28" s="14" t="n">
        <v>3</v>
      </c>
      <c r="M28" s="16" t="n">
        <v>0</v>
      </c>
      <c r="N28" s="15" t="n">
        <v>11.7741</v>
      </c>
      <c r="O28" s="17" t="str">
        <f aca="false">UPPER(LEFT(F28,3))&amp;"-"&amp;G28</f>
        <v>CAL-90049</v>
      </c>
      <c r="P28" s="17" t="str">
        <f aca="false">PROPER(TRIM(E28))</f>
        <v>Los Angeles</v>
      </c>
      <c r="Q28" s="17" t="str">
        <f aca="false">IFERROR(VLOOKUP(F28,Lookups!$A$2:$B$50,2,FALSE()),"Not found")</f>
        <v>West</v>
      </c>
      <c r="R28" s="17" t="str">
        <f aca="false">IF(Q28=H28,"Match","Mismatch")</f>
        <v>Match</v>
      </c>
      <c r="S28" s="17" t="str">
        <f aca="false">IFERROR(INDEX(SubCatCat,MATCH(J28,SubCatName,0)),"Not found")</f>
        <v>Technology</v>
      </c>
      <c r="T28" s="18" t="n">
        <f aca="false">IF(K28=0,0,N28/K28)</f>
        <v>0.13</v>
      </c>
      <c r="U28" s="17" t="str">
        <f aca="false">IF(N28&lt;0,"Loss",IF(T28&gt;=0.2,"High margin","Normal"))</f>
        <v>Normal</v>
      </c>
      <c r="V28" s="17" t="str">
        <f aca="false">IF(M28=0,"No discount",IF(M28&lt;=0.2,"Low",IF(M28&lt;=0.4,"Medium","High")))</f>
        <v>No discount</v>
      </c>
      <c r="W28" s="17" t="str">
        <f aca="false">IF(OR(B28="Same Day",B28="First Class"),"Fast","Standard")</f>
        <v>Standard</v>
      </c>
      <c r="X28" s="19" t="n">
        <f aca="false">ROUND(K28/L28,2)</f>
        <v>30.19</v>
      </c>
    </row>
    <row r="29" customFormat="false" ht="15" hidden="false" customHeight="false" outlineLevel="0" collapsed="false">
      <c r="A29" s="14" t="n">
        <v>28</v>
      </c>
      <c r="B29" s="14" t="s">
        <v>139</v>
      </c>
      <c r="C29" s="14" t="s">
        <v>7</v>
      </c>
      <c r="D29" s="14" t="s">
        <v>128</v>
      </c>
      <c r="E29" s="14" t="s">
        <v>164</v>
      </c>
      <c r="F29" s="14" t="s">
        <v>165</v>
      </c>
      <c r="G29" s="14" t="n">
        <v>19140</v>
      </c>
      <c r="H29" s="14" t="s">
        <v>166</v>
      </c>
      <c r="I29" s="14" t="s">
        <v>132</v>
      </c>
      <c r="J29" s="14" t="s">
        <v>133</v>
      </c>
      <c r="K29" s="15" t="n">
        <v>3083.43</v>
      </c>
      <c r="L29" s="14" t="n">
        <v>7</v>
      </c>
      <c r="M29" s="16" t="n">
        <v>0.5</v>
      </c>
      <c r="N29" s="15" t="n">
        <v>-1665.0522</v>
      </c>
      <c r="O29" s="17" t="str">
        <f aca="false">UPPER(LEFT(F29,3))&amp;"-"&amp;G29</f>
        <v>PEN-19140</v>
      </c>
      <c r="P29" s="17" t="str">
        <f aca="false">PROPER(TRIM(E29))</f>
        <v>Philadelphia</v>
      </c>
      <c r="Q29" s="17" t="str">
        <f aca="false">IFERROR(VLOOKUP(F29,Lookups!$A$2:$B$50,2,FALSE()),"Not found")</f>
        <v>East</v>
      </c>
      <c r="R29" s="17" t="str">
        <f aca="false">IF(Q29=H29,"Match","Mismatch")</f>
        <v>Match</v>
      </c>
      <c r="S29" s="17" t="str">
        <f aca="false">IFERROR(INDEX(SubCatCat,MATCH(J29,SubCatName,0)),"Not found")</f>
        <v>Furniture</v>
      </c>
      <c r="T29" s="18" t="n">
        <f aca="false">IF(K29=0,0,N29/K29)</f>
        <v>-0.54</v>
      </c>
      <c r="U29" s="17" t="str">
        <f aca="false">IF(N29&lt;0,"Loss",IF(T29&gt;=0.2,"High margin","Normal"))</f>
        <v>Loss</v>
      </c>
      <c r="V29" s="17" t="str">
        <f aca="false">IF(M29=0,"No discount",IF(M29&lt;=0.2,"Low",IF(M29&lt;=0.4,"Medium","High")))</f>
        <v>High</v>
      </c>
      <c r="W29" s="17" t="str">
        <f aca="false">IF(OR(B29="Same Day",B29="First Class"),"Fast","Standard")</f>
        <v>Standard</v>
      </c>
      <c r="X29" s="19" t="n">
        <f aca="false">ROUND(K29/L29,2)</f>
        <v>440.49</v>
      </c>
    </row>
    <row r="30" customFormat="false" ht="15" hidden="false" customHeight="false" outlineLevel="0" collapsed="false">
      <c r="A30" s="14" t="n">
        <v>29</v>
      </c>
      <c r="B30" s="14" t="s">
        <v>139</v>
      </c>
      <c r="C30" s="14" t="s">
        <v>7</v>
      </c>
      <c r="D30" s="14" t="s">
        <v>128</v>
      </c>
      <c r="E30" s="14" t="s">
        <v>164</v>
      </c>
      <c r="F30" s="14" t="s">
        <v>165</v>
      </c>
      <c r="G30" s="14" t="n">
        <v>19140</v>
      </c>
      <c r="H30" s="14" t="s">
        <v>166</v>
      </c>
      <c r="I30" s="14" t="s">
        <v>137</v>
      </c>
      <c r="J30" s="14" t="s">
        <v>146</v>
      </c>
      <c r="K30" s="15" t="n">
        <v>9.618</v>
      </c>
      <c r="L30" s="14" t="n">
        <v>2</v>
      </c>
      <c r="M30" s="16" t="n">
        <v>0.7</v>
      </c>
      <c r="N30" s="15" t="n">
        <v>-7.0532</v>
      </c>
      <c r="O30" s="17" t="str">
        <f aca="false">UPPER(LEFT(F30,3))&amp;"-"&amp;G30</f>
        <v>PEN-19140</v>
      </c>
      <c r="P30" s="17" t="str">
        <f aca="false">PROPER(TRIM(E30))</f>
        <v>Philadelphia</v>
      </c>
      <c r="Q30" s="17" t="str">
        <f aca="false">IFERROR(VLOOKUP(F30,Lookups!$A$2:$B$50,2,FALSE()),"Not found")</f>
        <v>East</v>
      </c>
      <c r="R30" s="17" t="str">
        <f aca="false">IF(Q30=H30,"Match","Mismatch")</f>
        <v>Match</v>
      </c>
      <c r="S30" s="17" t="str">
        <f aca="false">IFERROR(INDEX(SubCatCat,MATCH(J30,SubCatName,0)),"Not found")</f>
        <v>Office Supplies</v>
      </c>
      <c r="T30" s="18" t="n">
        <f aca="false">IF(K30=0,0,N30/K30)</f>
        <v>-0.733333333333333</v>
      </c>
      <c r="U30" s="17" t="str">
        <f aca="false">IF(N30&lt;0,"Loss",IF(T30&gt;=0.2,"High margin","Normal"))</f>
        <v>Loss</v>
      </c>
      <c r="V30" s="17" t="str">
        <f aca="false">IF(M30=0,"No discount",IF(M30&lt;=0.2,"Low",IF(M30&lt;=0.4,"Medium","High")))</f>
        <v>High</v>
      </c>
      <c r="W30" s="17" t="str">
        <f aca="false">IF(OR(B30="Same Day",B30="First Class"),"Fast","Standard")</f>
        <v>Standard</v>
      </c>
      <c r="X30" s="19" t="n">
        <f aca="false">ROUND(K30/L30,2)</f>
        <v>4.81</v>
      </c>
    </row>
    <row r="31" customFormat="false" ht="15" hidden="false" customHeight="false" outlineLevel="0" collapsed="false">
      <c r="A31" s="14" t="n">
        <v>30</v>
      </c>
      <c r="B31" s="14" t="s">
        <v>139</v>
      </c>
      <c r="C31" s="14" t="s">
        <v>7</v>
      </c>
      <c r="D31" s="14" t="s">
        <v>128</v>
      </c>
      <c r="E31" s="14" t="s">
        <v>164</v>
      </c>
      <c r="F31" s="14" t="s">
        <v>165</v>
      </c>
      <c r="G31" s="14" t="n">
        <v>19140</v>
      </c>
      <c r="H31" s="14" t="s">
        <v>166</v>
      </c>
      <c r="I31" s="14" t="s">
        <v>132</v>
      </c>
      <c r="J31" s="14" t="s">
        <v>144</v>
      </c>
      <c r="K31" s="15" t="n">
        <v>124.2</v>
      </c>
      <c r="L31" s="14" t="n">
        <v>3</v>
      </c>
      <c r="M31" s="16" t="n">
        <v>0.2</v>
      </c>
      <c r="N31" s="15" t="n">
        <v>15.525</v>
      </c>
      <c r="O31" s="17" t="str">
        <f aca="false">UPPER(LEFT(F31,3))&amp;"-"&amp;G31</f>
        <v>PEN-19140</v>
      </c>
      <c r="P31" s="17" t="str">
        <f aca="false">PROPER(TRIM(E31))</f>
        <v>Philadelphia</v>
      </c>
      <c r="Q31" s="17" t="str">
        <f aca="false">IFERROR(VLOOKUP(F31,Lookups!$A$2:$B$50,2,FALSE()),"Not found")</f>
        <v>East</v>
      </c>
      <c r="R31" s="17" t="str">
        <f aca="false">IF(Q31=H31,"Match","Mismatch")</f>
        <v>Match</v>
      </c>
      <c r="S31" s="17" t="str">
        <f aca="false">IFERROR(INDEX(SubCatCat,MATCH(J31,SubCatName,0)),"Not found")</f>
        <v>Furniture</v>
      </c>
      <c r="T31" s="18" t="n">
        <f aca="false">IF(K31=0,0,N31/K31)</f>
        <v>0.125</v>
      </c>
      <c r="U31" s="17" t="str">
        <f aca="false">IF(N31&lt;0,"Loss",IF(T31&gt;=0.2,"High margin","Normal"))</f>
        <v>Normal</v>
      </c>
      <c r="V31" s="17" t="str">
        <f aca="false">IF(M31=0,"No discount",IF(M31&lt;=0.2,"Low",IF(M31&lt;=0.4,"Medium","High")))</f>
        <v>Low</v>
      </c>
      <c r="W31" s="17" t="str">
        <f aca="false">IF(OR(B31="Same Day",B31="First Class"),"Fast","Standard")</f>
        <v>Standard</v>
      </c>
      <c r="X31" s="19" t="n">
        <f aca="false">ROUND(K31/L31,2)</f>
        <v>41.4</v>
      </c>
    </row>
    <row r="32" customFormat="false" ht="15" hidden="false" customHeight="false" outlineLevel="0" collapsed="false">
      <c r="A32" s="14" t="n">
        <v>31</v>
      </c>
      <c r="B32" s="14" t="s">
        <v>139</v>
      </c>
      <c r="C32" s="14" t="s">
        <v>7</v>
      </c>
      <c r="D32" s="14" t="s">
        <v>128</v>
      </c>
      <c r="E32" s="14" t="s">
        <v>164</v>
      </c>
      <c r="F32" s="14" t="s">
        <v>165</v>
      </c>
      <c r="G32" s="14" t="n">
        <v>19140</v>
      </c>
      <c r="H32" s="14" t="s">
        <v>166</v>
      </c>
      <c r="I32" s="14" t="s">
        <v>137</v>
      </c>
      <c r="J32" s="14" t="s">
        <v>169</v>
      </c>
      <c r="K32" s="15" t="n">
        <v>3.264</v>
      </c>
      <c r="L32" s="14" t="n">
        <v>2</v>
      </c>
      <c r="M32" s="16" t="n">
        <v>0.2</v>
      </c>
      <c r="N32" s="15" t="n">
        <v>1.1016</v>
      </c>
      <c r="O32" s="17" t="str">
        <f aca="false">UPPER(LEFT(F32,3))&amp;"-"&amp;G32</f>
        <v>PEN-19140</v>
      </c>
      <c r="P32" s="17" t="str">
        <f aca="false">PROPER(TRIM(E32))</f>
        <v>Philadelphia</v>
      </c>
      <c r="Q32" s="17" t="str">
        <f aca="false">IFERROR(VLOOKUP(F32,Lookups!$A$2:$B$50,2,FALSE()),"Not found")</f>
        <v>East</v>
      </c>
      <c r="R32" s="17" t="str">
        <f aca="false">IF(Q32=H32,"Match","Mismatch")</f>
        <v>Match</v>
      </c>
      <c r="S32" s="17" t="str">
        <f aca="false">IFERROR(INDEX(SubCatCat,MATCH(J32,SubCatName,0)),"Not found")</f>
        <v>Office Supplies</v>
      </c>
      <c r="T32" s="18" t="n">
        <f aca="false">IF(K32=0,0,N32/K32)</f>
        <v>0.3375</v>
      </c>
      <c r="U32" s="17" t="str">
        <f aca="false">IF(N32&lt;0,"Loss",IF(T32&gt;=0.2,"High margin","Normal"))</f>
        <v>High margin</v>
      </c>
      <c r="V32" s="17" t="str">
        <f aca="false">IF(M32=0,"No discount",IF(M32&lt;=0.2,"Low",IF(M32&lt;=0.4,"Medium","High")))</f>
        <v>Low</v>
      </c>
      <c r="W32" s="17" t="str">
        <f aca="false">IF(OR(B32="Same Day",B32="First Class"),"Fast","Standard")</f>
        <v>Standard</v>
      </c>
      <c r="X32" s="19" t="n">
        <f aca="false">ROUND(K32/L32,2)</f>
        <v>1.63</v>
      </c>
    </row>
    <row r="33" customFormat="false" ht="15" hidden="false" customHeight="false" outlineLevel="0" collapsed="false">
      <c r="A33" s="14" t="n">
        <v>32</v>
      </c>
      <c r="B33" s="14" t="s">
        <v>139</v>
      </c>
      <c r="C33" s="14" t="s">
        <v>7</v>
      </c>
      <c r="D33" s="14" t="s">
        <v>128</v>
      </c>
      <c r="E33" s="14" t="s">
        <v>164</v>
      </c>
      <c r="F33" s="14" t="s">
        <v>165</v>
      </c>
      <c r="G33" s="14" t="n">
        <v>19140</v>
      </c>
      <c r="H33" s="14" t="s">
        <v>166</v>
      </c>
      <c r="I33" s="14" t="s">
        <v>137</v>
      </c>
      <c r="J33" s="14" t="s">
        <v>145</v>
      </c>
      <c r="K33" s="15" t="n">
        <v>86.304</v>
      </c>
      <c r="L33" s="14" t="n">
        <v>6</v>
      </c>
      <c r="M33" s="16" t="n">
        <v>0.2</v>
      </c>
      <c r="N33" s="15" t="n">
        <v>9.7092</v>
      </c>
      <c r="O33" s="17" t="str">
        <f aca="false">UPPER(LEFT(F33,3))&amp;"-"&amp;G33</f>
        <v>PEN-19140</v>
      </c>
      <c r="P33" s="17" t="str">
        <f aca="false">PROPER(TRIM(E33))</f>
        <v>Philadelphia</v>
      </c>
      <c r="Q33" s="17" t="str">
        <f aca="false">IFERROR(VLOOKUP(F33,Lookups!$A$2:$B$50,2,FALSE()),"Not found")</f>
        <v>East</v>
      </c>
      <c r="R33" s="17" t="str">
        <f aca="false">IF(Q33=H33,"Match","Mismatch")</f>
        <v>Match</v>
      </c>
      <c r="S33" s="17" t="str">
        <f aca="false">IFERROR(INDEX(SubCatCat,MATCH(J33,SubCatName,0)),"Not found")</f>
        <v>Office Supplies</v>
      </c>
      <c r="T33" s="18" t="n">
        <f aca="false">IF(K33=0,0,N33/K33)</f>
        <v>0.1125</v>
      </c>
      <c r="U33" s="17" t="str">
        <f aca="false">IF(N33&lt;0,"Loss",IF(T33&gt;=0.2,"High margin","Normal"))</f>
        <v>Normal</v>
      </c>
      <c r="V33" s="17" t="str">
        <f aca="false">IF(M33=0,"No discount",IF(M33&lt;=0.2,"Low",IF(M33&lt;=0.4,"Medium","High")))</f>
        <v>Low</v>
      </c>
      <c r="W33" s="17" t="str">
        <f aca="false">IF(OR(B33="Same Day",B33="First Class"),"Fast","Standard")</f>
        <v>Standard</v>
      </c>
      <c r="X33" s="19" t="n">
        <f aca="false">ROUND(K33/L33,2)</f>
        <v>14.38</v>
      </c>
    </row>
    <row r="34" customFormat="false" ht="15" hidden="false" customHeight="false" outlineLevel="0" collapsed="false">
      <c r="A34" s="14" t="n">
        <v>33</v>
      </c>
      <c r="B34" s="14" t="s">
        <v>139</v>
      </c>
      <c r="C34" s="14" t="s">
        <v>7</v>
      </c>
      <c r="D34" s="14" t="s">
        <v>128</v>
      </c>
      <c r="E34" s="14" t="s">
        <v>164</v>
      </c>
      <c r="F34" s="14" t="s">
        <v>165</v>
      </c>
      <c r="G34" s="14" t="n">
        <v>19140</v>
      </c>
      <c r="H34" s="14" t="s">
        <v>166</v>
      </c>
      <c r="I34" s="14" t="s">
        <v>137</v>
      </c>
      <c r="J34" s="14" t="s">
        <v>146</v>
      </c>
      <c r="K34" s="15" t="n">
        <v>6.858</v>
      </c>
      <c r="L34" s="14" t="n">
        <v>6</v>
      </c>
      <c r="M34" s="16" t="n">
        <v>0.7</v>
      </c>
      <c r="N34" s="15" t="n">
        <v>-5.715</v>
      </c>
      <c r="O34" s="17" t="str">
        <f aca="false">UPPER(LEFT(F34,3))&amp;"-"&amp;G34</f>
        <v>PEN-19140</v>
      </c>
      <c r="P34" s="17" t="str">
        <f aca="false">PROPER(TRIM(E34))</f>
        <v>Philadelphia</v>
      </c>
      <c r="Q34" s="17" t="str">
        <f aca="false">IFERROR(VLOOKUP(F34,Lookups!$A$2:$B$50,2,FALSE()),"Not found")</f>
        <v>East</v>
      </c>
      <c r="R34" s="17" t="str">
        <f aca="false">IF(Q34=H34,"Match","Mismatch")</f>
        <v>Match</v>
      </c>
      <c r="S34" s="17" t="str">
        <f aca="false">IFERROR(INDEX(SubCatCat,MATCH(J34,SubCatName,0)),"Not found")</f>
        <v>Office Supplies</v>
      </c>
      <c r="T34" s="18" t="n">
        <f aca="false">IF(K34=0,0,N34/K34)</f>
        <v>-0.833333333333333</v>
      </c>
      <c r="U34" s="17" t="str">
        <f aca="false">IF(N34&lt;0,"Loss",IF(T34&gt;=0.2,"High margin","Normal"))</f>
        <v>Loss</v>
      </c>
      <c r="V34" s="17" t="str">
        <f aca="false">IF(M34=0,"No discount",IF(M34&lt;=0.2,"Low",IF(M34&lt;=0.4,"Medium","High")))</f>
        <v>High</v>
      </c>
      <c r="W34" s="17" t="str">
        <f aca="false">IF(OR(B34="Same Day",B34="First Class"),"Fast","Standard")</f>
        <v>Standard</v>
      </c>
      <c r="X34" s="19" t="n">
        <f aca="false">ROUND(K34/L34,2)</f>
        <v>1.14</v>
      </c>
    </row>
    <row r="35" customFormat="false" ht="15" hidden="false" customHeight="false" outlineLevel="0" collapsed="false">
      <c r="A35" s="14" t="n">
        <v>34</v>
      </c>
      <c r="B35" s="14" t="s">
        <v>139</v>
      </c>
      <c r="C35" s="14" t="s">
        <v>7</v>
      </c>
      <c r="D35" s="14" t="s">
        <v>128</v>
      </c>
      <c r="E35" s="14" t="s">
        <v>164</v>
      </c>
      <c r="F35" s="14" t="s">
        <v>165</v>
      </c>
      <c r="G35" s="14" t="n">
        <v>19140</v>
      </c>
      <c r="H35" s="14" t="s">
        <v>166</v>
      </c>
      <c r="I35" s="14" t="s">
        <v>137</v>
      </c>
      <c r="J35" s="14" t="s">
        <v>145</v>
      </c>
      <c r="K35" s="15" t="n">
        <v>15.76</v>
      </c>
      <c r="L35" s="14" t="n">
        <v>2</v>
      </c>
      <c r="M35" s="16" t="n">
        <v>0.2</v>
      </c>
      <c r="N35" s="15" t="n">
        <v>3.546</v>
      </c>
      <c r="O35" s="17" t="str">
        <f aca="false">UPPER(LEFT(F35,3))&amp;"-"&amp;G35</f>
        <v>PEN-19140</v>
      </c>
      <c r="P35" s="17" t="str">
        <f aca="false">PROPER(TRIM(E35))</f>
        <v>Philadelphia</v>
      </c>
      <c r="Q35" s="17" t="str">
        <f aca="false">IFERROR(VLOOKUP(F35,Lookups!$A$2:$B$50,2,FALSE()),"Not found")</f>
        <v>East</v>
      </c>
      <c r="R35" s="17" t="str">
        <f aca="false">IF(Q35=H35,"Match","Mismatch")</f>
        <v>Match</v>
      </c>
      <c r="S35" s="17" t="str">
        <f aca="false">IFERROR(INDEX(SubCatCat,MATCH(J35,SubCatName,0)),"Not found")</f>
        <v>Office Supplies</v>
      </c>
      <c r="T35" s="18" t="n">
        <f aca="false">IF(K35=0,0,N35/K35)</f>
        <v>0.225</v>
      </c>
      <c r="U35" s="17" t="str">
        <f aca="false">IF(N35&lt;0,"Loss",IF(T35&gt;=0.2,"High margin","Normal"))</f>
        <v>High margin</v>
      </c>
      <c r="V35" s="17" t="str">
        <f aca="false">IF(M35=0,"No discount",IF(M35&lt;=0.2,"Low",IF(M35&lt;=0.4,"Medium","High")))</f>
        <v>Low</v>
      </c>
      <c r="W35" s="17" t="str">
        <f aca="false">IF(OR(B35="Same Day",B35="First Class"),"Fast","Standard")</f>
        <v>Standard</v>
      </c>
      <c r="X35" s="19" t="n">
        <f aca="false">ROUND(K35/L35,2)</f>
        <v>7.88</v>
      </c>
    </row>
    <row r="36" customFormat="false" ht="15" hidden="false" customHeight="false" outlineLevel="0" collapsed="false">
      <c r="A36" s="14" t="n">
        <v>35</v>
      </c>
      <c r="B36" s="14" t="s">
        <v>127</v>
      </c>
      <c r="C36" s="14" t="s">
        <v>153</v>
      </c>
      <c r="D36" s="14" t="s">
        <v>128</v>
      </c>
      <c r="E36" s="14" t="s">
        <v>170</v>
      </c>
      <c r="F36" s="14" t="s">
        <v>155</v>
      </c>
      <c r="G36" s="14" t="n">
        <v>77095</v>
      </c>
      <c r="H36" s="14" t="s">
        <v>156</v>
      </c>
      <c r="I36" s="14" t="s">
        <v>137</v>
      </c>
      <c r="J36" s="14" t="s">
        <v>150</v>
      </c>
      <c r="K36" s="15" t="n">
        <v>29.472</v>
      </c>
      <c r="L36" s="14" t="n">
        <v>3</v>
      </c>
      <c r="M36" s="16" t="n">
        <v>0.2</v>
      </c>
      <c r="N36" s="15" t="n">
        <v>9.9468</v>
      </c>
      <c r="O36" s="17" t="str">
        <f aca="false">UPPER(LEFT(F36,3))&amp;"-"&amp;G36</f>
        <v>TEX-77095</v>
      </c>
      <c r="P36" s="17" t="str">
        <f aca="false">PROPER(TRIM(E36))</f>
        <v>Houston</v>
      </c>
      <c r="Q36" s="17" t="str">
        <f aca="false">IFERROR(VLOOKUP(F36,Lookups!$A$2:$B$50,2,FALSE()),"Not found")</f>
        <v>Central</v>
      </c>
      <c r="R36" s="17" t="str">
        <f aca="false">IF(Q36=H36,"Match","Mismatch")</f>
        <v>Match</v>
      </c>
      <c r="S36" s="17" t="str">
        <f aca="false">IFERROR(INDEX(SubCatCat,MATCH(J36,SubCatName,0)),"Not found")</f>
        <v>Office Supplies</v>
      </c>
      <c r="T36" s="18" t="n">
        <f aca="false">IF(K36=0,0,N36/K36)</f>
        <v>0.3375</v>
      </c>
      <c r="U36" s="17" t="str">
        <f aca="false">IF(N36&lt;0,"Loss",IF(T36&gt;=0.2,"High margin","Normal"))</f>
        <v>High margin</v>
      </c>
      <c r="V36" s="17" t="str">
        <f aca="false">IF(M36=0,"No discount",IF(M36&lt;=0.2,"Low",IF(M36&lt;=0.4,"Medium","High")))</f>
        <v>Low</v>
      </c>
      <c r="W36" s="17" t="str">
        <f aca="false">IF(OR(B36="Same Day",B36="First Class"),"Fast","Standard")</f>
        <v>Standard</v>
      </c>
      <c r="X36" s="19" t="n">
        <f aca="false">ROUND(K36/L36,2)</f>
        <v>9.82</v>
      </c>
    </row>
    <row r="37" customFormat="false" ht="15" hidden="false" customHeight="false" outlineLevel="0" collapsed="false">
      <c r="A37" s="14" t="n">
        <v>36</v>
      </c>
      <c r="B37" s="14" t="s">
        <v>171</v>
      </c>
      <c r="C37" s="14" t="s">
        <v>135</v>
      </c>
      <c r="D37" s="14" t="s">
        <v>128</v>
      </c>
      <c r="E37" s="14" t="s">
        <v>172</v>
      </c>
      <c r="F37" s="14" t="s">
        <v>155</v>
      </c>
      <c r="G37" s="14" t="n">
        <v>75080</v>
      </c>
      <c r="H37" s="14" t="s">
        <v>156</v>
      </c>
      <c r="I37" s="14" t="s">
        <v>5</v>
      </c>
      <c r="J37" s="14" t="s">
        <v>11</v>
      </c>
      <c r="K37" s="15" t="n">
        <v>1097.544</v>
      </c>
      <c r="L37" s="14" t="n">
        <v>7</v>
      </c>
      <c r="M37" s="16" t="n">
        <v>0.2</v>
      </c>
      <c r="N37" s="15" t="n">
        <v>123.4737</v>
      </c>
      <c r="O37" s="17" t="str">
        <f aca="false">UPPER(LEFT(F37,3))&amp;"-"&amp;G37</f>
        <v>TEX-75080</v>
      </c>
      <c r="P37" s="17" t="str">
        <f aca="false">PROPER(TRIM(E37))</f>
        <v>Richardson</v>
      </c>
      <c r="Q37" s="17" t="str">
        <f aca="false">IFERROR(VLOOKUP(F37,Lookups!$A$2:$B$50,2,FALSE()),"Not found")</f>
        <v>Central</v>
      </c>
      <c r="R37" s="17" t="str">
        <f aca="false">IF(Q37=H37,"Match","Mismatch")</f>
        <v>Match</v>
      </c>
      <c r="S37" s="17" t="str">
        <f aca="false">IFERROR(INDEX(SubCatCat,MATCH(J37,SubCatName,0)),"Not found")</f>
        <v>Technology</v>
      </c>
      <c r="T37" s="18" t="n">
        <f aca="false">IF(K37=0,0,N37/K37)</f>
        <v>0.1125</v>
      </c>
      <c r="U37" s="17" t="str">
        <f aca="false">IF(N37&lt;0,"Loss",IF(T37&gt;=0.2,"High margin","Normal"))</f>
        <v>Normal</v>
      </c>
      <c r="V37" s="17" t="str">
        <f aca="false">IF(M37=0,"No discount",IF(M37&lt;=0.2,"Low",IF(M37&lt;=0.4,"Medium","High")))</f>
        <v>Low</v>
      </c>
      <c r="W37" s="17" t="str">
        <f aca="false">IF(OR(B37="Same Day",B37="First Class"),"Fast","Standard")</f>
        <v>Fast</v>
      </c>
      <c r="X37" s="19" t="n">
        <f aca="false">ROUND(K37/L37,2)</f>
        <v>156.79</v>
      </c>
    </row>
    <row r="38" customFormat="false" ht="15" hidden="false" customHeight="false" outlineLevel="0" collapsed="false">
      <c r="A38" s="14" t="n">
        <v>37</v>
      </c>
      <c r="B38" s="14" t="s">
        <v>171</v>
      </c>
      <c r="C38" s="14" t="s">
        <v>135</v>
      </c>
      <c r="D38" s="14" t="s">
        <v>128</v>
      </c>
      <c r="E38" s="14" t="s">
        <v>172</v>
      </c>
      <c r="F38" s="14" t="s">
        <v>155</v>
      </c>
      <c r="G38" s="14" t="n">
        <v>75080</v>
      </c>
      <c r="H38" s="14" t="s">
        <v>156</v>
      </c>
      <c r="I38" s="14" t="s">
        <v>132</v>
      </c>
      <c r="J38" s="14" t="s">
        <v>144</v>
      </c>
      <c r="K38" s="15" t="n">
        <v>190.92</v>
      </c>
      <c r="L38" s="14" t="n">
        <v>5</v>
      </c>
      <c r="M38" s="16" t="n">
        <v>0.6</v>
      </c>
      <c r="N38" s="15" t="n">
        <v>-147.963</v>
      </c>
      <c r="O38" s="17" t="str">
        <f aca="false">UPPER(LEFT(F38,3))&amp;"-"&amp;G38</f>
        <v>TEX-75080</v>
      </c>
      <c r="P38" s="17" t="str">
        <f aca="false">PROPER(TRIM(E38))</f>
        <v>Richardson</v>
      </c>
      <c r="Q38" s="17" t="str">
        <f aca="false">IFERROR(VLOOKUP(F38,Lookups!$A$2:$B$50,2,FALSE()),"Not found")</f>
        <v>Central</v>
      </c>
      <c r="R38" s="17" t="str">
        <f aca="false">IF(Q38=H38,"Match","Mismatch")</f>
        <v>Match</v>
      </c>
      <c r="S38" s="17" t="str">
        <f aca="false">IFERROR(INDEX(SubCatCat,MATCH(J38,SubCatName,0)),"Not found")</f>
        <v>Furniture</v>
      </c>
      <c r="T38" s="18" t="n">
        <f aca="false">IF(K38=0,0,N38/K38)</f>
        <v>-0.775</v>
      </c>
      <c r="U38" s="17" t="str">
        <f aca="false">IF(N38&lt;0,"Loss",IF(T38&gt;=0.2,"High margin","Normal"))</f>
        <v>Loss</v>
      </c>
      <c r="V38" s="17" t="str">
        <f aca="false">IF(M38=0,"No discount",IF(M38&lt;=0.2,"Low",IF(M38&lt;=0.4,"Medium","High")))</f>
        <v>High</v>
      </c>
      <c r="W38" s="17" t="str">
        <f aca="false">IF(OR(B38="Same Day",B38="First Class"),"Fast","Standard")</f>
        <v>Fast</v>
      </c>
      <c r="X38" s="19" t="n">
        <f aca="false">ROUND(K38/L38,2)</f>
        <v>38.18</v>
      </c>
    </row>
    <row r="39" customFormat="false" ht="15" hidden="false" customHeight="false" outlineLevel="0" collapsed="false">
      <c r="A39" s="14" t="n">
        <v>38</v>
      </c>
      <c r="B39" s="14" t="s">
        <v>139</v>
      </c>
      <c r="C39" s="14" t="s">
        <v>153</v>
      </c>
      <c r="D39" s="14" t="s">
        <v>128</v>
      </c>
      <c r="E39" s="14" t="s">
        <v>170</v>
      </c>
      <c r="F39" s="14" t="s">
        <v>155</v>
      </c>
      <c r="G39" s="14" t="n">
        <v>77041</v>
      </c>
      <c r="H39" s="14" t="s">
        <v>156</v>
      </c>
      <c r="I39" s="14" t="s">
        <v>137</v>
      </c>
      <c r="J39" s="14" t="s">
        <v>169</v>
      </c>
      <c r="K39" s="15" t="n">
        <v>113.328</v>
      </c>
      <c r="L39" s="14" t="n">
        <v>9</v>
      </c>
      <c r="M39" s="16" t="n">
        <v>0.2</v>
      </c>
      <c r="N39" s="15" t="n">
        <v>35.415</v>
      </c>
      <c r="O39" s="17" t="str">
        <f aca="false">UPPER(LEFT(F39,3))&amp;"-"&amp;G39</f>
        <v>TEX-77041</v>
      </c>
      <c r="P39" s="17" t="str">
        <f aca="false">PROPER(TRIM(E39))</f>
        <v>Houston</v>
      </c>
      <c r="Q39" s="17" t="str">
        <f aca="false">IFERROR(VLOOKUP(F39,Lookups!$A$2:$B$50,2,FALSE()),"Not found")</f>
        <v>Central</v>
      </c>
      <c r="R39" s="17" t="str">
        <f aca="false">IF(Q39=H39,"Match","Mismatch")</f>
        <v>Match</v>
      </c>
      <c r="S39" s="17" t="str">
        <f aca="false">IFERROR(INDEX(SubCatCat,MATCH(J39,SubCatName,0)),"Not found")</f>
        <v>Office Supplies</v>
      </c>
      <c r="T39" s="18" t="n">
        <f aca="false">IF(K39=0,0,N39/K39)</f>
        <v>0.3125</v>
      </c>
      <c r="U39" s="17" t="str">
        <f aca="false">IF(N39&lt;0,"Loss",IF(T39&gt;=0.2,"High margin","Normal"))</f>
        <v>High margin</v>
      </c>
      <c r="V39" s="17" t="str">
        <f aca="false">IF(M39=0,"No discount",IF(M39&lt;=0.2,"Low",IF(M39&lt;=0.4,"Medium","High")))</f>
        <v>Low</v>
      </c>
      <c r="W39" s="17" t="str">
        <f aca="false">IF(OR(B39="Same Day",B39="First Class"),"Fast","Standard")</f>
        <v>Standard</v>
      </c>
      <c r="X39" s="19" t="n">
        <f aca="false">ROUND(K39/L39,2)</f>
        <v>12.59</v>
      </c>
    </row>
    <row r="40" customFormat="false" ht="15" hidden="false" customHeight="false" outlineLevel="0" collapsed="false">
      <c r="A40" s="14" t="n">
        <v>39</v>
      </c>
      <c r="B40" s="14" t="s">
        <v>139</v>
      </c>
      <c r="C40" s="14" t="s">
        <v>153</v>
      </c>
      <c r="D40" s="14" t="s">
        <v>128</v>
      </c>
      <c r="E40" s="14" t="s">
        <v>170</v>
      </c>
      <c r="F40" s="14" t="s">
        <v>155</v>
      </c>
      <c r="G40" s="14" t="n">
        <v>77041</v>
      </c>
      <c r="H40" s="14" t="s">
        <v>156</v>
      </c>
      <c r="I40" s="14" t="s">
        <v>132</v>
      </c>
      <c r="J40" s="14" t="s">
        <v>133</v>
      </c>
      <c r="K40" s="15" t="n">
        <v>532.3992</v>
      </c>
      <c r="L40" s="14" t="n">
        <v>3</v>
      </c>
      <c r="M40" s="16" t="n">
        <v>0.32</v>
      </c>
      <c r="N40" s="15" t="n">
        <v>-46.9764</v>
      </c>
      <c r="O40" s="17" t="str">
        <f aca="false">UPPER(LEFT(F40,3))&amp;"-"&amp;G40</f>
        <v>TEX-77041</v>
      </c>
      <c r="P40" s="17" t="str">
        <f aca="false">PROPER(TRIM(E40))</f>
        <v>Houston</v>
      </c>
      <c r="Q40" s="17" t="str">
        <f aca="false">IFERROR(VLOOKUP(F40,Lookups!$A$2:$B$50,2,FALSE()),"Not found")</f>
        <v>Central</v>
      </c>
      <c r="R40" s="17" t="str">
        <f aca="false">IF(Q40=H40,"Match","Mismatch")</f>
        <v>Match</v>
      </c>
      <c r="S40" s="17" t="str">
        <f aca="false">IFERROR(INDEX(SubCatCat,MATCH(J40,SubCatName,0)),"Not found")</f>
        <v>Furniture</v>
      </c>
      <c r="T40" s="18" t="n">
        <f aca="false">IF(K40=0,0,N40/K40)</f>
        <v>-0.0882352941176471</v>
      </c>
      <c r="U40" s="17" t="str">
        <f aca="false">IF(N40&lt;0,"Loss",IF(T40&gt;=0.2,"High margin","Normal"))</f>
        <v>Loss</v>
      </c>
      <c r="V40" s="17" t="str">
        <f aca="false">IF(M40=0,"No discount",IF(M40&lt;=0.2,"Low",IF(M40&lt;=0.4,"Medium","High")))</f>
        <v>Medium</v>
      </c>
      <c r="W40" s="17" t="str">
        <f aca="false">IF(OR(B40="Same Day",B40="First Class"),"Fast","Standard")</f>
        <v>Standard</v>
      </c>
      <c r="X40" s="19" t="n">
        <f aca="false">ROUND(K40/L40,2)</f>
        <v>177.47</v>
      </c>
    </row>
    <row r="41" customFormat="false" ht="15" hidden="false" customHeight="false" outlineLevel="0" collapsed="false">
      <c r="A41" s="14" t="n">
        <v>40</v>
      </c>
      <c r="B41" s="14" t="s">
        <v>139</v>
      </c>
      <c r="C41" s="14" t="s">
        <v>153</v>
      </c>
      <c r="D41" s="14" t="s">
        <v>128</v>
      </c>
      <c r="E41" s="14" t="s">
        <v>170</v>
      </c>
      <c r="F41" s="14" t="s">
        <v>155</v>
      </c>
      <c r="G41" s="14" t="n">
        <v>77041</v>
      </c>
      <c r="H41" s="14" t="s">
        <v>156</v>
      </c>
      <c r="I41" s="14" t="s">
        <v>132</v>
      </c>
      <c r="J41" s="14" t="s">
        <v>134</v>
      </c>
      <c r="K41" s="15" t="n">
        <v>212.058</v>
      </c>
      <c r="L41" s="14" t="n">
        <v>3</v>
      </c>
      <c r="M41" s="16" t="n">
        <v>0.3</v>
      </c>
      <c r="N41" s="15" t="n">
        <v>-15.147</v>
      </c>
      <c r="O41" s="17" t="str">
        <f aca="false">UPPER(LEFT(F41,3))&amp;"-"&amp;G41</f>
        <v>TEX-77041</v>
      </c>
      <c r="P41" s="17" t="str">
        <f aca="false">PROPER(TRIM(E41))</f>
        <v>Houston</v>
      </c>
      <c r="Q41" s="17" t="str">
        <f aca="false">IFERROR(VLOOKUP(F41,Lookups!$A$2:$B$50,2,FALSE()),"Not found")</f>
        <v>Central</v>
      </c>
      <c r="R41" s="17" t="str">
        <f aca="false">IF(Q41=H41,"Match","Mismatch")</f>
        <v>Match</v>
      </c>
      <c r="S41" s="17" t="str">
        <f aca="false">IFERROR(INDEX(SubCatCat,MATCH(J41,SubCatName,0)),"Not found")</f>
        <v>Furniture</v>
      </c>
      <c r="T41" s="18" t="n">
        <f aca="false">IF(K41=0,0,N41/K41)</f>
        <v>-0.0714285714285714</v>
      </c>
      <c r="U41" s="17" t="str">
        <f aca="false">IF(N41&lt;0,"Loss",IF(T41&gt;=0.2,"High margin","Normal"))</f>
        <v>Loss</v>
      </c>
      <c r="V41" s="17" t="str">
        <f aca="false">IF(M41=0,"No discount",IF(M41&lt;=0.2,"Low",IF(M41&lt;=0.4,"Medium","High")))</f>
        <v>Medium</v>
      </c>
      <c r="W41" s="17" t="str">
        <f aca="false">IF(OR(B41="Same Day",B41="First Class"),"Fast","Standard")</f>
        <v>Standard</v>
      </c>
      <c r="X41" s="19" t="n">
        <f aca="false">ROUND(K41/L41,2)</f>
        <v>70.69</v>
      </c>
    </row>
    <row r="42" customFormat="false" ht="15" hidden="false" customHeight="false" outlineLevel="0" collapsed="false">
      <c r="A42" s="14" t="n">
        <v>41</v>
      </c>
      <c r="B42" s="14" t="s">
        <v>139</v>
      </c>
      <c r="C42" s="14" t="s">
        <v>153</v>
      </c>
      <c r="D42" s="14" t="s">
        <v>128</v>
      </c>
      <c r="E42" s="14" t="s">
        <v>170</v>
      </c>
      <c r="F42" s="14" t="s">
        <v>155</v>
      </c>
      <c r="G42" s="14" t="n">
        <v>77041</v>
      </c>
      <c r="H42" s="14" t="s">
        <v>156</v>
      </c>
      <c r="I42" s="14" t="s">
        <v>5</v>
      </c>
      <c r="J42" s="14" t="s">
        <v>11</v>
      </c>
      <c r="K42" s="15" t="n">
        <v>371.168</v>
      </c>
      <c r="L42" s="14" t="n">
        <v>4</v>
      </c>
      <c r="M42" s="16" t="n">
        <v>0.2</v>
      </c>
      <c r="N42" s="15" t="n">
        <v>41.7564</v>
      </c>
      <c r="O42" s="17" t="str">
        <f aca="false">UPPER(LEFT(F42,3))&amp;"-"&amp;G42</f>
        <v>TEX-77041</v>
      </c>
      <c r="P42" s="17" t="str">
        <f aca="false">PROPER(TRIM(E42))</f>
        <v>Houston</v>
      </c>
      <c r="Q42" s="17" t="str">
        <f aca="false">IFERROR(VLOOKUP(F42,Lookups!$A$2:$B$50,2,FALSE()),"Not found")</f>
        <v>Central</v>
      </c>
      <c r="R42" s="17" t="str">
        <f aca="false">IF(Q42=H42,"Match","Mismatch")</f>
        <v>Match</v>
      </c>
      <c r="S42" s="17" t="str">
        <f aca="false">IFERROR(INDEX(SubCatCat,MATCH(J42,SubCatName,0)),"Not found")</f>
        <v>Technology</v>
      </c>
      <c r="T42" s="18" t="n">
        <f aca="false">IF(K42=0,0,N42/K42)</f>
        <v>0.1125</v>
      </c>
      <c r="U42" s="17" t="str">
        <f aca="false">IF(N42&lt;0,"Loss",IF(T42&gt;=0.2,"High margin","Normal"))</f>
        <v>Normal</v>
      </c>
      <c r="V42" s="17" t="str">
        <f aca="false">IF(M42=0,"No discount",IF(M42&lt;=0.2,"Low",IF(M42&lt;=0.4,"Medium","High")))</f>
        <v>Low</v>
      </c>
      <c r="W42" s="17" t="str">
        <f aca="false">IF(OR(B42="Same Day",B42="First Class"),"Fast","Standard")</f>
        <v>Standard</v>
      </c>
      <c r="X42" s="19" t="n">
        <f aca="false">ROUND(K42/L42,2)</f>
        <v>92.79</v>
      </c>
    </row>
    <row r="43" customFormat="false" ht="15" hidden="false" customHeight="false" outlineLevel="0" collapsed="false">
      <c r="A43" s="14" t="n">
        <v>42</v>
      </c>
      <c r="B43" s="14" t="s">
        <v>139</v>
      </c>
      <c r="C43" s="14" t="s">
        <v>135</v>
      </c>
      <c r="D43" s="14" t="s">
        <v>128</v>
      </c>
      <c r="E43" s="14" t="s">
        <v>173</v>
      </c>
      <c r="F43" s="14" t="s">
        <v>174</v>
      </c>
      <c r="G43" s="14" t="n">
        <v>60540</v>
      </c>
      <c r="H43" s="14" t="s">
        <v>156</v>
      </c>
      <c r="I43" s="14" t="s">
        <v>5</v>
      </c>
      <c r="J43" s="14" t="s">
        <v>11</v>
      </c>
      <c r="K43" s="15" t="n">
        <v>147.168</v>
      </c>
      <c r="L43" s="14" t="n">
        <v>4</v>
      </c>
      <c r="M43" s="16" t="n">
        <v>0.2</v>
      </c>
      <c r="N43" s="15" t="n">
        <v>16.5564</v>
      </c>
      <c r="O43" s="17" t="str">
        <f aca="false">UPPER(LEFT(F43,3))&amp;"-"&amp;G43</f>
        <v>ILL-60540</v>
      </c>
      <c r="P43" s="17" t="str">
        <f aca="false">PROPER(TRIM(E43))</f>
        <v>Naperville</v>
      </c>
      <c r="Q43" s="17" t="str">
        <f aca="false">IFERROR(VLOOKUP(F43,Lookups!$A$2:$B$50,2,FALSE()),"Not found")</f>
        <v>Central</v>
      </c>
      <c r="R43" s="17" t="str">
        <f aca="false">IF(Q43=H43,"Match","Mismatch")</f>
        <v>Match</v>
      </c>
      <c r="S43" s="17" t="str">
        <f aca="false">IFERROR(INDEX(SubCatCat,MATCH(J43,SubCatName,0)),"Not found")</f>
        <v>Technology</v>
      </c>
      <c r="T43" s="18" t="n">
        <f aca="false">IF(K43=0,0,N43/K43)</f>
        <v>0.1125</v>
      </c>
      <c r="U43" s="17" t="str">
        <f aca="false">IF(N43&lt;0,"Loss",IF(T43&gt;=0.2,"High margin","Normal"))</f>
        <v>Normal</v>
      </c>
      <c r="V43" s="17" t="str">
        <f aca="false">IF(M43=0,"No discount",IF(M43&lt;=0.2,"Low",IF(M43&lt;=0.4,"Medium","High")))</f>
        <v>Low</v>
      </c>
      <c r="W43" s="17" t="str">
        <f aca="false">IF(OR(B43="Same Day",B43="First Class"),"Fast","Standard")</f>
        <v>Standard</v>
      </c>
      <c r="X43" s="19" t="n">
        <f aca="false">ROUND(K43/L43,2)</f>
        <v>36.79</v>
      </c>
    </row>
    <row r="44" customFormat="false" ht="15" hidden="false" customHeight="false" outlineLevel="0" collapsed="false">
      <c r="A44" s="14" t="n">
        <v>43</v>
      </c>
      <c r="B44" s="14" t="s">
        <v>139</v>
      </c>
      <c r="C44" s="14" t="s">
        <v>135</v>
      </c>
      <c r="D44" s="14" t="s">
        <v>128</v>
      </c>
      <c r="E44" s="14" t="s">
        <v>136</v>
      </c>
      <c r="F44" s="14" t="s">
        <v>9</v>
      </c>
      <c r="G44" s="14" t="n">
        <v>90049</v>
      </c>
      <c r="H44" s="14" t="s">
        <v>3</v>
      </c>
      <c r="I44" s="14" t="s">
        <v>137</v>
      </c>
      <c r="J44" s="14" t="s">
        <v>143</v>
      </c>
      <c r="K44" s="15" t="n">
        <v>77.88</v>
      </c>
      <c r="L44" s="14" t="n">
        <v>2</v>
      </c>
      <c r="M44" s="16" t="n">
        <v>0</v>
      </c>
      <c r="N44" s="15" t="n">
        <v>3.894</v>
      </c>
      <c r="O44" s="17" t="str">
        <f aca="false">UPPER(LEFT(F44,3))&amp;"-"&amp;G44</f>
        <v>CAL-90049</v>
      </c>
      <c r="P44" s="17" t="str">
        <f aca="false">PROPER(TRIM(E44))</f>
        <v>Los Angeles</v>
      </c>
      <c r="Q44" s="17" t="str">
        <f aca="false">IFERROR(VLOOKUP(F44,Lookups!$A$2:$B$50,2,FALSE()),"Not found")</f>
        <v>West</v>
      </c>
      <c r="R44" s="17" t="str">
        <f aca="false">IF(Q44=H44,"Match","Mismatch")</f>
        <v>Match</v>
      </c>
      <c r="S44" s="17" t="str">
        <f aca="false">IFERROR(INDEX(SubCatCat,MATCH(J44,SubCatName,0)),"Not found")</f>
        <v>Office Supplies</v>
      </c>
      <c r="T44" s="18" t="n">
        <f aca="false">IF(K44=0,0,N44/K44)</f>
        <v>0.05</v>
      </c>
      <c r="U44" s="17" t="str">
        <f aca="false">IF(N44&lt;0,"Loss",IF(T44&gt;=0.2,"High margin","Normal"))</f>
        <v>Normal</v>
      </c>
      <c r="V44" s="17" t="str">
        <f aca="false">IF(M44=0,"No discount",IF(M44&lt;=0.2,"Low",IF(M44&lt;=0.4,"Medium","High")))</f>
        <v>No discount</v>
      </c>
      <c r="W44" s="17" t="str">
        <f aca="false">IF(OR(B44="Same Day",B44="First Class"),"Fast","Standard")</f>
        <v>Standard</v>
      </c>
      <c r="X44" s="19" t="n">
        <f aca="false">ROUND(K44/L44,2)</f>
        <v>38.94</v>
      </c>
    </row>
    <row r="45" customFormat="false" ht="15" hidden="false" customHeight="false" outlineLevel="0" collapsed="false">
      <c r="A45" s="14" t="n">
        <v>44</v>
      </c>
      <c r="B45" s="14" t="s">
        <v>139</v>
      </c>
      <c r="C45" s="14" t="s">
        <v>135</v>
      </c>
      <c r="D45" s="14" t="s">
        <v>128</v>
      </c>
      <c r="E45" s="14" t="s">
        <v>175</v>
      </c>
      <c r="F45" s="14" t="s">
        <v>141</v>
      </c>
      <c r="G45" s="14" t="n">
        <v>32935</v>
      </c>
      <c r="H45" s="14" t="s">
        <v>131</v>
      </c>
      <c r="I45" s="14" t="s">
        <v>137</v>
      </c>
      <c r="J45" s="14" t="s">
        <v>143</v>
      </c>
      <c r="K45" s="15" t="n">
        <v>95.616</v>
      </c>
      <c r="L45" s="14" t="n">
        <v>2</v>
      </c>
      <c r="M45" s="16" t="n">
        <v>0.2</v>
      </c>
      <c r="N45" s="15" t="n">
        <v>9.5616</v>
      </c>
      <c r="O45" s="17" t="str">
        <f aca="false">UPPER(LEFT(F45,3))&amp;"-"&amp;G45</f>
        <v>FLO-32935</v>
      </c>
      <c r="P45" s="17" t="str">
        <f aca="false">PROPER(TRIM(E45))</f>
        <v>Melbourne</v>
      </c>
      <c r="Q45" s="17" t="str">
        <f aca="false">IFERROR(VLOOKUP(F45,Lookups!$A$2:$B$50,2,FALSE()),"Not found")</f>
        <v>South</v>
      </c>
      <c r="R45" s="17" t="str">
        <f aca="false">IF(Q45=H45,"Match","Mismatch")</f>
        <v>Match</v>
      </c>
      <c r="S45" s="17" t="str">
        <f aca="false">IFERROR(INDEX(SubCatCat,MATCH(J45,SubCatName,0)),"Not found")</f>
        <v>Office Supplies</v>
      </c>
      <c r="T45" s="18" t="n">
        <f aca="false">IF(K45=0,0,N45/K45)</f>
        <v>0.1</v>
      </c>
      <c r="U45" s="17" t="str">
        <f aca="false">IF(N45&lt;0,"Loss",IF(T45&gt;=0.2,"High margin","Normal"))</f>
        <v>Normal</v>
      </c>
      <c r="V45" s="17" t="str">
        <f aca="false">IF(M45=0,"No discount",IF(M45&lt;=0.2,"Low",IF(M45&lt;=0.4,"Medium","High")))</f>
        <v>Low</v>
      </c>
      <c r="W45" s="17" t="str">
        <f aca="false">IF(OR(B45="Same Day",B45="First Class"),"Fast","Standard")</f>
        <v>Standard</v>
      </c>
      <c r="X45" s="19" t="n">
        <f aca="false">ROUND(K45/L45,2)</f>
        <v>47.81</v>
      </c>
    </row>
    <row r="46" customFormat="false" ht="15" hidden="false" customHeight="false" outlineLevel="0" collapsed="false">
      <c r="A46" s="14" t="n">
        <v>45</v>
      </c>
      <c r="B46" s="14" t="s">
        <v>171</v>
      </c>
      <c r="C46" s="14" t="s">
        <v>135</v>
      </c>
      <c r="D46" s="14" t="s">
        <v>128</v>
      </c>
      <c r="E46" s="14" t="s">
        <v>176</v>
      </c>
      <c r="F46" s="14" t="s">
        <v>177</v>
      </c>
      <c r="G46" s="14" t="n">
        <v>55122</v>
      </c>
      <c r="H46" s="14" t="s">
        <v>156</v>
      </c>
      <c r="I46" s="14" t="s">
        <v>5</v>
      </c>
      <c r="J46" s="14" t="s">
        <v>168</v>
      </c>
      <c r="K46" s="15" t="n">
        <v>45.98</v>
      </c>
      <c r="L46" s="14" t="n">
        <v>2</v>
      </c>
      <c r="M46" s="16" t="n">
        <v>0</v>
      </c>
      <c r="N46" s="15" t="n">
        <v>19.7714</v>
      </c>
      <c r="O46" s="17" t="str">
        <f aca="false">UPPER(LEFT(F46,3))&amp;"-"&amp;G46</f>
        <v>MIN-55122</v>
      </c>
      <c r="P46" s="17" t="str">
        <f aca="false">PROPER(TRIM(E46))</f>
        <v>Eagan</v>
      </c>
      <c r="Q46" s="17" t="str">
        <f aca="false">IFERROR(VLOOKUP(F46,Lookups!$A$2:$B$50,2,FALSE()),"Not found")</f>
        <v>Central</v>
      </c>
      <c r="R46" s="17" t="str">
        <f aca="false">IF(Q46=H46,"Match","Mismatch")</f>
        <v>Match</v>
      </c>
      <c r="S46" s="17" t="str">
        <f aca="false">IFERROR(INDEX(SubCatCat,MATCH(J46,SubCatName,0)),"Not found")</f>
        <v>Technology</v>
      </c>
      <c r="T46" s="18" t="n">
        <f aca="false">IF(K46=0,0,N46/K46)</f>
        <v>0.43</v>
      </c>
      <c r="U46" s="17" t="str">
        <f aca="false">IF(N46&lt;0,"Loss",IF(T46&gt;=0.2,"High margin","Normal"))</f>
        <v>High margin</v>
      </c>
      <c r="V46" s="17" t="str">
        <f aca="false">IF(M46=0,"No discount",IF(M46&lt;=0.2,"Low",IF(M46&lt;=0.4,"Medium","High")))</f>
        <v>No discount</v>
      </c>
      <c r="W46" s="17" t="str">
        <f aca="false">IF(OR(B46="Same Day",B46="First Class"),"Fast","Standard")</f>
        <v>Fast</v>
      </c>
      <c r="X46" s="19" t="n">
        <f aca="false">ROUND(K46/L46,2)</f>
        <v>22.99</v>
      </c>
    </row>
    <row r="47" customFormat="false" ht="15" hidden="false" customHeight="false" outlineLevel="0" collapsed="false">
      <c r="A47" s="14" t="n">
        <v>46</v>
      </c>
      <c r="B47" s="14" t="s">
        <v>171</v>
      </c>
      <c r="C47" s="14" t="s">
        <v>135</v>
      </c>
      <c r="D47" s="14" t="s">
        <v>128</v>
      </c>
      <c r="E47" s="14" t="s">
        <v>176</v>
      </c>
      <c r="F47" s="14" t="s">
        <v>177</v>
      </c>
      <c r="G47" s="14" t="n">
        <v>55122</v>
      </c>
      <c r="H47" s="14" t="s">
        <v>156</v>
      </c>
      <c r="I47" s="14" t="s">
        <v>137</v>
      </c>
      <c r="J47" s="14" t="s">
        <v>146</v>
      </c>
      <c r="K47" s="15" t="n">
        <v>17.46</v>
      </c>
      <c r="L47" s="14" t="n">
        <v>2</v>
      </c>
      <c r="M47" s="16" t="n">
        <v>0</v>
      </c>
      <c r="N47" s="15" t="n">
        <v>8.2062</v>
      </c>
      <c r="O47" s="17" t="str">
        <f aca="false">UPPER(LEFT(F47,3))&amp;"-"&amp;G47</f>
        <v>MIN-55122</v>
      </c>
      <c r="P47" s="17" t="str">
        <f aca="false">PROPER(TRIM(E47))</f>
        <v>Eagan</v>
      </c>
      <c r="Q47" s="17" t="str">
        <f aca="false">IFERROR(VLOOKUP(F47,Lookups!$A$2:$B$50,2,FALSE()),"Not found")</f>
        <v>Central</v>
      </c>
      <c r="R47" s="17" t="str">
        <f aca="false">IF(Q47=H47,"Match","Mismatch")</f>
        <v>Match</v>
      </c>
      <c r="S47" s="17" t="str">
        <f aca="false">IFERROR(INDEX(SubCatCat,MATCH(J47,SubCatName,0)),"Not found")</f>
        <v>Office Supplies</v>
      </c>
      <c r="T47" s="18" t="n">
        <f aca="false">IF(K47=0,0,N47/K47)</f>
        <v>0.47</v>
      </c>
      <c r="U47" s="17" t="str">
        <f aca="false">IF(N47&lt;0,"Loss",IF(T47&gt;=0.2,"High margin","Normal"))</f>
        <v>High margin</v>
      </c>
      <c r="V47" s="17" t="str">
        <f aca="false">IF(M47=0,"No discount",IF(M47&lt;=0.2,"Low",IF(M47&lt;=0.4,"Medium","High")))</f>
        <v>No discount</v>
      </c>
      <c r="W47" s="17" t="str">
        <f aca="false">IF(OR(B47="Same Day",B47="First Class"),"Fast","Standard")</f>
        <v>Fast</v>
      </c>
      <c r="X47" s="19" t="n">
        <f aca="false">ROUND(K47/L47,2)</f>
        <v>8.73</v>
      </c>
    </row>
    <row r="48" customFormat="false" ht="15" hidden="false" customHeight="false" outlineLevel="0" collapsed="false">
      <c r="A48" s="14" t="n">
        <v>47</v>
      </c>
      <c r="B48" s="14" t="s">
        <v>127</v>
      </c>
      <c r="C48" s="14" t="s">
        <v>7</v>
      </c>
      <c r="D48" s="14" t="s">
        <v>128</v>
      </c>
      <c r="E48" s="14" t="s">
        <v>178</v>
      </c>
      <c r="F48" s="14" t="s">
        <v>179</v>
      </c>
      <c r="G48" s="14" t="n">
        <v>48185</v>
      </c>
      <c r="H48" s="14" t="s">
        <v>156</v>
      </c>
      <c r="I48" s="14" t="s">
        <v>137</v>
      </c>
      <c r="J48" s="14" t="s">
        <v>143</v>
      </c>
      <c r="K48" s="15" t="n">
        <v>211.96</v>
      </c>
      <c r="L48" s="14" t="n">
        <v>4</v>
      </c>
      <c r="M48" s="16" t="n">
        <v>0</v>
      </c>
      <c r="N48" s="15" t="n">
        <v>8.4784</v>
      </c>
      <c r="O48" s="17" t="str">
        <f aca="false">UPPER(LEFT(F48,3))&amp;"-"&amp;G48</f>
        <v>MIC-48185</v>
      </c>
      <c r="P48" s="17" t="str">
        <f aca="false">PROPER(TRIM(E48))</f>
        <v>Westland</v>
      </c>
      <c r="Q48" s="17" t="str">
        <f aca="false">IFERROR(VLOOKUP(F48,Lookups!$A$2:$B$50,2,FALSE()),"Not found")</f>
        <v>Central</v>
      </c>
      <c r="R48" s="17" t="str">
        <f aca="false">IF(Q48=H48,"Match","Mismatch")</f>
        <v>Match</v>
      </c>
      <c r="S48" s="17" t="str">
        <f aca="false">IFERROR(INDEX(SubCatCat,MATCH(J48,SubCatName,0)),"Not found")</f>
        <v>Office Supplies</v>
      </c>
      <c r="T48" s="18" t="n">
        <f aca="false">IF(K48=0,0,N48/K48)</f>
        <v>0.04</v>
      </c>
      <c r="U48" s="17" t="str">
        <f aca="false">IF(N48&lt;0,"Loss",IF(T48&gt;=0.2,"High margin","Normal"))</f>
        <v>Normal</v>
      </c>
      <c r="V48" s="17" t="str">
        <f aca="false">IF(M48=0,"No discount",IF(M48&lt;=0.2,"Low",IF(M48&lt;=0.4,"Medium","High")))</f>
        <v>No discount</v>
      </c>
      <c r="W48" s="17" t="str">
        <f aca="false">IF(OR(B48="Same Day",B48="First Class"),"Fast","Standard")</f>
        <v>Standard</v>
      </c>
      <c r="X48" s="19" t="n">
        <f aca="false">ROUND(K48/L48,2)</f>
        <v>52.99</v>
      </c>
    </row>
    <row r="49" customFormat="false" ht="15" hidden="false" customHeight="false" outlineLevel="0" collapsed="false">
      <c r="A49" s="14" t="n">
        <v>48</v>
      </c>
      <c r="B49" s="14" t="s">
        <v>139</v>
      </c>
      <c r="C49" s="14" t="s">
        <v>7</v>
      </c>
      <c r="D49" s="14" t="s">
        <v>128</v>
      </c>
      <c r="E49" s="14" t="s">
        <v>180</v>
      </c>
      <c r="F49" s="14" t="s">
        <v>181</v>
      </c>
      <c r="G49" s="14" t="n">
        <v>19901</v>
      </c>
      <c r="H49" s="14" t="s">
        <v>166</v>
      </c>
      <c r="I49" s="14" t="s">
        <v>5</v>
      </c>
      <c r="J49" s="14" t="s">
        <v>168</v>
      </c>
      <c r="K49" s="15" t="n">
        <v>45</v>
      </c>
      <c r="L49" s="14" t="n">
        <v>3</v>
      </c>
      <c r="M49" s="16" t="n">
        <v>0</v>
      </c>
      <c r="N49" s="15" t="n">
        <v>4.95</v>
      </c>
      <c r="O49" s="17" t="str">
        <f aca="false">UPPER(LEFT(F49,3))&amp;"-"&amp;G49</f>
        <v>DEL-19901</v>
      </c>
      <c r="P49" s="17" t="str">
        <f aca="false">PROPER(TRIM(E49))</f>
        <v>Dover</v>
      </c>
      <c r="Q49" s="17" t="str">
        <f aca="false">IFERROR(VLOOKUP(F49,Lookups!$A$2:$B$50,2,FALSE()),"Not found")</f>
        <v>East</v>
      </c>
      <c r="R49" s="17" t="str">
        <f aca="false">IF(Q49=H49,"Match","Mismatch")</f>
        <v>Match</v>
      </c>
      <c r="S49" s="17" t="str">
        <f aca="false">IFERROR(INDEX(SubCatCat,MATCH(J49,SubCatName,0)),"Not found")</f>
        <v>Technology</v>
      </c>
      <c r="T49" s="18" t="n">
        <f aca="false">IF(K49=0,0,N49/K49)</f>
        <v>0.11</v>
      </c>
      <c r="U49" s="17" t="str">
        <f aca="false">IF(N49&lt;0,"Loss",IF(T49&gt;=0.2,"High margin","Normal"))</f>
        <v>Normal</v>
      </c>
      <c r="V49" s="17" t="str">
        <f aca="false">IF(M49=0,"No discount",IF(M49&lt;=0.2,"Low",IF(M49&lt;=0.4,"Medium","High")))</f>
        <v>No discount</v>
      </c>
      <c r="W49" s="17" t="str">
        <f aca="false">IF(OR(B49="Same Day",B49="First Class"),"Fast","Standard")</f>
        <v>Standard</v>
      </c>
      <c r="X49" s="19" t="n">
        <f aca="false">ROUND(K49/L49,2)</f>
        <v>15</v>
      </c>
    </row>
    <row r="50" customFormat="false" ht="15" hidden="false" customHeight="false" outlineLevel="0" collapsed="false">
      <c r="A50" s="14" t="n">
        <v>49</v>
      </c>
      <c r="B50" s="14" t="s">
        <v>139</v>
      </c>
      <c r="C50" s="14" t="s">
        <v>7</v>
      </c>
      <c r="D50" s="14" t="s">
        <v>128</v>
      </c>
      <c r="E50" s="14" t="s">
        <v>180</v>
      </c>
      <c r="F50" s="14" t="s">
        <v>181</v>
      </c>
      <c r="G50" s="14" t="n">
        <v>19901</v>
      </c>
      <c r="H50" s="14" t="s">
        <v>166</v>
      </c>
      <c r="I50" s="14" t="s">
        <v>5</v>
      </c>
      <c r="J50" s="14" t="s">
        <v>11</v>
      </c>
      <c r="K50" s="15" t="n">
        <v>21.8</v>
      </c>
      <c r="L50" s="14" t="n">
        <v>2</v>
      </c>
      <c r="M50" s="16" t="n">
        <v>0</v>
      </c>
      <c r="N50" s="15" t="n">
        <v>6.104</v>
      </c>
      <c r="O50" s="17" t="str">
        <f aca="false">UPPER(LEFT(F50,3))&amp;"-"&amp;G50</f>
        <v>DEL-19901</v>
      </c>
      <c r="P50" s="17" t="str">
        <f aca="false">PROPER(TRIM(E50))</f>
        <v>Dover</v>
      </c>
      <c r="Q50" s="17" t="str">
        <f aca="false">IFERROR(VLOOKUP(F50,Lookups!$A$2:$B$50,2,FALSE()),"Not found")</f>
        <v>East</v>
      </c>
      <c r="R50" s="17" t="str">
        <f aca="false">IF(Q50=H50,"Match","Mismatch")</f>
        <v>Match</v>
      </c>
      <c r="S50" s="17" t="str">
        <f aca="false">IFERROR(INDEX(SubCatCat,MATCH(J50,SubCatName,0)),"Not found")</f>
        <v>Technology</v>
      </c>
      <c r="T50" s="18" t="n">
        <f aca="false">IF(K50=0,0,N50/K50)</f>
        <v>0.28</v>
      </c>
      <c r="U50" s="17" t="str">
        <f aca="false">IF(N50&lt;0,"Loss",IF(T50&gt;=0.2,"High margin","Normal"))</f>
        <v>High margin</v>
      </c>
      <c r="V50" s="17" t="str">
        <f aca="false">IF(M50=0,"No discount",IF(M50&lt;=0.2,"Low",IF(M50&lt;=0.4,"Medium","High")))</f>
        <v>No discount</v>
      </c>
      <c r="W50" s="17" t="str">
        <f aca="false">IF(OR(B50="Same Day",B50="First Class"),"Fast","Standard")</f>
        <v>Standard</v>
      </c>
      <c r="X50" s="19" t="n">
        <f aca="false">ROUND(K50/L50,2)</f>
        <v>10.9</v>
      </c>
    </row>
    <row r="51" customFormat="false" ht="15" hidden="false" customHeight="false" outlineLevel="0" collapsed="false">
      <c r="A51" s="14" t="n">
        <v>50</v>
      </c>
      <c r="B51" s="14" t="s">
        <v>139</v>
      </c>
      <c r="C51" s="14" t="s">
        <v>7</v>
      </c>
      <c r="D51" s="14" t="s">
        <v>128</v>
      </c>
      <c r="E51" s="14" t="s">
        <v>182</v>
      </c>
      <c r="F51" s="14" t="s">
        <v>183</v>
      </c>
      <c r="G51" s="14" t="n">
        <v>47150</v>
      </c>
      <c r="H51" s="14" t="s">
        <v>156</v>
      </c>
      <c r="I51" s="14" t="s">
        <v>137</v>
      </c>
      <c r="J51" s="14" t="s">
        <v>146</v>
      </c>
      <c r="K51" s="15" t="n">
        <v>38.22</v>
      </c>
      <c r="L51" s="14" t="n">
        <v>6</v>
      </c>
      <c r="M51" s="16" t="n">
        <v>0</v>
      </c>
      <c r="N51" s="15" t="n">
        <v>17.9634</v>
      </c>
      <c r="O51" s="17" t="str">
        <f aca="false">UPPER(LEFT(F51,3))&amp;"-"&amp;G51</f>
        <v>IND-47150</v>
      </c>
      <c r="P51" s="17" t="str">
        <f aca="false">PROPER(TRIM(E51))</f>
        <v>New Albany</v>
      </c>
      <c r="Q51" s="17" t="str">
        <f aca="false">IFERROR(VLOOKUP(F51,Lookups!$A$2:$B$50,2,FALSE()),"Not found")</f>
        <v>Central</v>
      </c>
      <c r="R51" s="17" t="str">
        <f aca="false">IF(Q51=H51,"Match","Mismatch")</f>
        <v>Match</v>
      </c>
      <c r="S51" s="17" t="str">
        <f aca="false">IFERROR(INDEX(SubCatCat,MATCH(J51,SubCatName,0)),"Not found")</f>
        <v>Office Supplies</v>
      </c>
      <c r="T51" s="18" t="n">
        <f aca="false">IF(K51=0,0,N51/K51)</f>
        <v>0.47</v>
      </c>
      <c r="U51" s="17" t="str">
        <f aca="false">IF(N51&lt;0,"Loss",IF(T51&gt;=0.2,"High margin","Normal"))</f>
        <v>High margin</v>
      </c>
      <c r="V51" s="17" t="str">
        <f aca="false">IF(M51=0,"No discount",IF(M51&lt;=0.2,"Low",IF(M51&lt;=0.4,"Medium","High")))</f>
        <v>No discount</v>
      </c>
      <c r="W51" s="17" t="str">
        <f aca="false">IF(OR(B51="Same Day",B51="First Class"),"Fast","Standard")</f>
        <v>Standard</v>
      </c>
      <c r="X51" s="19" t="n">
        <f aca="false">ROUND(K51/L51,2)</f>
        <v>6.37</v>
      </c>
    </row>
    <row r="52" customFormat="false" ht="15" hidden="false" customHeight="false" outlineLevel="0" collapsed="false">
      <c r="A52" s="14" t="n">
        <v>51</v>
      </c>
      <c r="B52" s="14" t="s">
        <v>139</v>
      </c>
      <c r="C52" s="14" t="s">
        <v>7</v>
      </c>
      <c r="D52" s="14" t="s">
        <v>128</v>
      </c>
      <c r="E52" s="14" t="s">
        <v>182</v>
      </c>
      <c r="F52" s="14" t="s">
        <v>183</v>
      </c>
      <c r="G52" s="14" t="n">
        <v>47150</v>
      </c>
      <c r="H52" s="14" t="s">
        <v>156</v>
      </c>
      <c r="I52" s="14" t="s">
        <v>137</v>
      </c>
      <c r="J52" s="14" t="s">
        <v>138</v>
      </c>
      <c r="K52" s="15" t="n">
        <v>75.18</v>
      </c>
      <c r="L52" s="14" t="n">
        <v>6</v>
      </c>
      <c r="M52" s="16" t="n">
        <v>0</v>
      </c>
      <c r="N52" s="15" t="n">
        <v>35.3346</v>
      </c>
      <c r="O52" s="17" t="str">
        <f aca="false">UPPER(LEFT(F52,3))&amp;"-"&amp;G52</f>
        <v>IND-47150</v>
      </c>
      <c r="P52" s="17" t="str">
        <f aca="false">PROPER(TRIM(E52))</f>
        <v>New Albany</v>
      </c>
      <c r="Q52" s="17" t="str">
        <f aca="false">IFERROR(VLOOKUP(F52,Lookups!$A$2:$B$50,2,FALSE()),"Not found")</f>
        <v>Central</v>
      </c>
      <c r="R52" s="17" t="str">
        <f aca="false">IF(Q52=H52,"Match","Mismatch")</f>
        <v>Match</v>
      </c>
      <c r="S52" s="17" t="str">
        <f aca="false">IFERROR(INDEX(SubCatCat,MATCH(J52,SubCatName,0)),"Not found")</f>
        <v>Office Supplies</v>
      </c>
      <c r="T52" s="18" t="n">
        <f aca="false">IF(K52=0,0,N52/K52)</f>
        <v>0.47</v>
      </c>
      <c r="U52" s="17" t="str">
        <f aca="false">IF(N52&lt;0,"Loss",IF(T52&gt;=0.2,"High margin","Normal"))</f>
        <v>High margin</v>
      </c>
      <c r="V52" s="17" t="str">
        <f aca="false">IF(M52=0,"No discount",IF(M52&lt;=0.2,"Low",IF(M52&lt;=0.4,"Medium","High")))</f>
        <v>No discount</v>
      </c>
      <c r="W52" s="17" t="str">
        <f aca="false">IF(OR(B52="Same Day",B52="First Class"),"Fast","Standard")</f>
        <v>Standard</v>
      </c>
      <c r="X52" s="19" t="n">
        <f aca="false">ROUND(K52/L52,2)</f>
        <v>12.53</v>
      </c>
    </row>
    <row r="53" customFormat="false" ht="15" hidden="false" customHeight="false" outlineLevel="0" collapsed="false">
      <c r="A53" s="14" t="n">
        <v>52</v>
      </c>
      <c r="B53" s="14" t="s">
        <v>139</v>
      </c>
      <c r="C53" s="14" t="s">
        <v>7</v>
      </c>
      <c r="D53" s="14" t="s">
        <v>128</v>
      </c>
      <c r="E53" s="14" t="s">
        <v>182</v>
      </c>
      <c r="F53" s="14" t="s">
        <v>183</v>
      </c>
      <c r="G53" s="14" t="n">
        <v>47150</v>
      </c>
      <c r="H53" s="14" t="s">
        <v>156</v>
      </c>
      <c r="I53" s="14" t="s">
        <v>132</v>
      </c>
      <c r="J53" s="14" t="s">
        <v>144</v>
      </c>
      <c r="K53" s="15" t="n">
        <v>6.16</v>
      </c>
      <c r="L53" s="14" t="n">
        <v>2</v>
      </c>
      <c r="M53" s="16" t="n">
        <v>0</v>
      </c>
      <c r="N53" s="15" t="n">
        <v>2.9568</v>
      </c>
      <c r="O53" s="17" t="str">
        <f aca="false">UPPER(LEFT(F53,3))&amp;"-"&amp;G53</f>
        <v>IND-47150</v>
      </c>
      <c r="P53" s="17" t="str">
        <f aca="false">PROPER(TRIM(E53))</f>
        <v>New Albany</v>
      </c>
      <c r="Q53" s="17" t="str">
        <f aca="false">IFERROR(VLOOKUP(F53,Lookups!$A$2:$B$50,2,FALSE()),"Not found")</f>
        <v>Central</v>
      </c>
      <c r="R53" s="17" t="str">
        <f aca="false">IF(Q53=H53,"Match","Mismatch")</f>
        <v>Match</v>
      </c>
      <c r="S53" s="17" t="str">
        <f aca="false">IFERROR(INDEX(SubCatCat,MATCH(J53,SubCatName,0)),"Not found")</f>
        <v>Furniture</v>
      </c>
      <c r="T53" s="18" t="n">
        <f aca="false">IF(K53=0,0,N53/K53)</f>
        <v>0.48</v>
      </c>
      <c r="U53" s="17" t="str">
        <f aca="false">IF(N53&lt;0,"Loss",IF(T53&gt;=0.2,"High margin","Normal"))</f>
        <v>High margin</v>
      </c>
      <c r="V53" s="17" t="str">
        <f aca="false">IF(M53=0,"No discount",IF(M53&lt;=0.2,"Low",IF(M53&lt;=0.4,"Medium","High")))</f>
        <v>No discount</v>
      </c>
      <c r="W53" s="17" t="str">
        <f aca="false">IF(OR(B53="Same Day",B53="First Class"),"Fast","Standard")</f>
        <v>Standard</v>
      </c>
      <c r="X53" s="19" t="n">
        <f aca="false">ROUND(K53/L53,2)</f>
        <v>3.08</v>
      </c>
    </row>
    <row r="54" customFormat="false" ht="15" hidden="false" customHeight="false" outlineLevel="0" collapsed="false">
      <c r="A54" s="14" t="n">
        <v>53</v>
      </c>
      <c r="B54" s="14" t="s">
        <v>139</v>
      </c>
      <c r="C54" s="14" t="s">
        <v>7</v>
      </c>
      <c r="D54" s="14" t="s">
        <v>128</v>
      </c>
      <c r="E54" s="14" t="s">
        <v>182</v>
      </c>
      <c r="F54" s="14" t="s">
        <v>183</v>
      </c>
      <c r="G54" s="14" t="n">
        <v>47150</v>
      </c>
      <c r="H54" s="14" t="s">
        <v>156</v>
      </c>
      <c r="I54" s="14" t="s">
        <v>132</v>
      </c>
      <c r="J54" s="14" t="s">
        <v>134</v>
      </c>
      <c r="K54" s="15" t="n">
        <v>89.99</v>
      </c>
      <c r="L54" s="14" t="n">
        <v>1</v>
      </c>
      <c r="M54" s="16" t="n">
        <v>0</v>
      </c>
      <c r="N54" s="15" t="n">
        <v>17.0981</v>
      </c>
      <c r="O54" s="17" t="str">
        <f aca="false">UPPER(LEFT(F54,3))&amp;"-"&amp;G54</f>
        <v>IND-47150</v>
      </c>
      <c r="P54" s="17" t="str">
        <f aca="false">PROPER(TRIM(E54))</f>
        <v>New Albany</v>
      </c>
      <c r="Q54" s="17" t="str">
        <f aca="false">IFERROR(VLOOKUP(F54,Lookups!$A$2:$B$50,2,FALSE()),"Not found")</f>
        <v>Central</v>
      </c>
      <c r="R54" s="17" t="str">
        <f aca="false">IF(Q54=H54,"Match","Mismatch")</f>
        <v>Match</v>
      </c>
      <c r="S54" s="17" t="str">
        <f aca="false">IFERROR(INDEX(SubCatCat,MATCH(J54,SubCatName,0)),"Not found")</f>
        <v>Furniture</v>
      </c>
      <c r="T54" s="18" t="n">
        <f aca="false">IF(K54=0,0,N54/K54)</f>
        <v>0.19</v>
      </c>
      <c r="U54" s="17" t="str">
        <f aca="false">IF(N54&lt;0,"Loss",IF(T54&gt;=0.2,"High margin","Normal"))</f>
        <v>Normal</v>
      </c>
      <c r="V54" s="17" t="str">
        <f aca="false">IF(M54=0,"No discount",IF(M54&lt;=0.2,"Low",IF(M54&lt;=0.4,"Medium","High")))</f>
        <v>No discount</v>
      </c>
      <c r="W54" s="17" t="str">
        <f aca="false">IF(OR(B54="Same Day",B54="First Class"),"Fast","Standard")</f>
        <v>Standard</v>
      </c>
      <c r="X54" s="19" t="n">
        <f aca="false">ROUND(K54/L54,2)</f>
        <v>89.99</v>
      </c>
    </row>
    <row r="55" customFormat="false" ht="15" hidden="false" customHeight="false" outlineLevel="0" collapsed="false">
      <c r="A55" s="14" t="n">
        <v>54</v>
      </c>
      <c r="B55" s="14" t="s">
        <v>139</v>
      </c>
      <c r="C55" s="14" t="s">
        <v>135</v>
      </c>
      <c r="D55" s="14" t="s">
        <v>128</v>
      </c>
      <c r="E55" s="14" t="s">
        <v>184</v>
      </c>
      <c r="F55" s="14" t="s">
        <v>185</v>
      </c>
      <c r="G55" s="14" t="n">
        <v>10024</v>
      </c>
      <c r="H55" s="14" t="s">
        <v>166</v>
      </c>
      <c r="I55" s="14" t="s">
        <v>137</v>
      </c>
      <c r="J55" s="14" t="s">
        <v>186</v>
      </c>
      <c r="K55" s="15" t="n">
        <v>15.26</v>
      </c>
      <c r="L55" s="14" t="n">
        <v>7</v>
      </c>
      <c r="M55" s="16" t="n">
        <v>0</v>
      </c>
      <c r="N55" s="15" t="n">
        <v>6.2566</v>
      </c>
      <c r="O55" s="17" t="str">
        <f aca="false">UPPER(LEFT(F55,3))&amp;"-"&amp;G55</f>
        <v>NEW-10024</v>
      </c>
      <c r="P55" s="17" t="str">
        <f aca="false">PROPER(TRIM(E55))</f>
        <v>New York City</v>
      </c>
      <c r="Q55" s="17" t="str">
        <f aca="false">IFERROR(VLOOKUP(F55,Lookups!$A$2:$B$50,2,FALSE()),"Not found")</f>
        <v>East</v>
      </c>
      <c r="R55" s="17" t="str">
        <f aca="false">IF(Q55=H55,"Match","Mismatch")</f>
        <v>Match</v>
      </c>
      <c r="S55" s="17" t="str">
        <f aca="false">IFERROR(INDEX(SubCatCat,MATCH(J55,SubCatName,0)),"Not found")</f>
        <v>Office Supplies</v>
      </c>
      <c r="T55" s="18" t="n">
        <f aca="false">IF(K55=0,0,N55/K55)</f>
        <v>0.41</v>
      </c>
      <c r="U55" s="17" t="str">
        <f aca="false">IF(N55&lt;0,"Loss",IF(T55&gt;=0.2,"High margin","Normal"))</f>
        <v>High margin</v>
      </c>
      <c r="V55" s="17" t="str">
        <f aca="false">IF(M55=0,"No discount",IF(M55&lt;=0.2,"Low",IF(M55&lt;=0.4,"Medium","High")))</f>
        <v>No discount</v>
      </c>
      <c r="W55" s="17" t="str">
        <f aca="false">IF(OR(B55="Same Day",B55="First Class"),"Fast","Standard")</f>
        <v>Standard</v>
      </c>
      <c r="X55" s="19" t="n">
        <f aca="false">ROUND(K55/L55,2)</f>
        <v>2.18</v>
      </c>
    </row>
    <row r="56" customFormat="false" ht="15" hidden="false" customHeight="false" outlineLevel="0" collapsed="false">
      <c r="A56" s="14" t="n">
        <v>55</v>
      </c>
      <c r="B56" s="14" t="s">
        <v>139</v>
      </c>
      <c r="C56" s="14" t="s">
        <v>135</v>
      </c>
      <c r="D56" s="14" t="s">
        <v>128</v>
      </c>
      <c r="E56" s="14" t="s">
        <v>184</v>
      </c>
      <c r="F56" s="14" t="s">
        <v>185</v>
      </c>
      <c r="G56" s="14" t="n">
        <v>10024</v>
      </c>
      <c r="H56" s="14" t="s">
        <v>166</v>
      </c>
      <c r="I56" s="14" t="s">
        <v>5</v>
      </c>
      <c r="J56" s="14" t="s">
        <v>11</v>
      </c>
      <c r="K56" s="15" t="n">
        <v>1029.95</v>
      </c>
      <c r="L56" s="14" t="n">
        <v>5</v>
      </c>
      <c r="M56" s="16" t="n">
        <v>0</v>
      </c>
      <c r="N56" s="15" t="n">
        <v>298.6855</v>
      </c>
      <c r="O56" s="17" t="str">
        <f aca="false">UPPER(LEFT(F56,3))&amp;"-"&amp;G56</f>
        <v>NEW-10024</v>
      </c>
      <c r="P56" s="17" t="str">
        <f aca="false">PROPER(TRIM(E56))</f>
        <v>New York City</v>
      </c>
      <c r="Q56" s="17" t="str">
        <f aca="false">IFERROR(VLOOKUP(F56,Lookups!$A$2:$B$50,2,FALSE()),"Not found")</f>
        <v>East</v>
      </c>
      <c r="R56" s="17" t="str">
        <f aca="false">IF(Q56=H56,"Match","Mismatch")</f>
        <v>Match</v>
      </c>
      <c r="S56" s="17" t="str">
        <f aca="false">IFERROR(INDEX(SubCatCat,MATCH(J56,SubCatName,0)),"Not found")</f>
        <v>Technology</v>
      </c>
      <c r="T56" s="18" t="n">
        <f aca="false">IF(K56=0,0,N56/K56)</f>
        <v>0.29</v>
      </c>
      <c r="U56" s="17" t="str">
        <f aca="false">IF(N56&lt;0,"Loss",IF(T56&gt;=0.2,"High margin","Normal"))</f>
        <v>High margin</v>
      </c>
      <c r="V56" s="17" t="str">
        <f aca="false">IF(M56=0,"No discount",IF(M56&lt;=0.2,"Low",IF(M56&lt;=0.4,"Medium","High")))</f>
        <v>No discount</v>
      </c>
      <c r="W56" s="17" t="str">
        <f aca="false">IF(OR(B56="Same Day",B56="First Class"),"Fast","Standard")</f>
        <v>Standard</v>
      </c>
      <c r="X56" s="19" t="n">
        <f aca="false">ROUND(K56/L56,2)</f>
        <v>205.99</v>
      </c>
    </row>
    <row r="57" customFormat="false" ht="15" hidden="false" customHeight="false" outlineLevel="0" collapsed="false">
      <c r="A57" s="14" t="n">
        <v>56</v>
      </c>
      <c r="B57" s="14" t="s">
        <v>171</v>
      </c>
      <c r="C57" s="14" t="s">
        <v>7</v>
      </c>
      <c r="D57" s="14" t="s">
        <v>128</v>
      </c>
      <c r="E57" s="14" t="s">
        <v>187</v>
      </c>
      <c r="F57" s="14" t="s">
        <v>185</v>
      </c>
      <c r="G57" s="14" t="n">
        <v>12180</v>
      </c>
      <c r="H57" s="14" t="s">
        <v>166</v>
      </c>
      <c r="I57" s="14" t="s">
        <v>137</v>
      </c>
      <c r="J57" s="14" t="s">
        <v>143</v>
      </c>
      <c r="K57" s="15" t="n">
        <v>208.56</v>
      </c>
      <c r="L57" s="14" t="n">
        <v>6</v>
      </c>
      <c r="M57" s="16" t="n">
        <v>0</v>
      </c>
      <c r="N57" s="15" t="n">
        <v>52.14</v>
      </c>
      <c r="O57" s="17" t="str">
        <f aca="false">UPPER(LEFT(F57,3))&amp;"-"&amp;G57</f>
        <v>NEW-12180</v>
      </c>
      <c r="P57" s="17" t="str">
        <f aca="false">PROPER(TRIM(E57))</f>
        <v>Troy</v>
      </c>
      <c r="Q57" s="17" t="str">
        <f aca="false">IFERROR(VLOOKUP(F57,Lookups!$A$2:$B$50,2,FALSE()),"Not found")</f>
        <v>East</v>
      </c>
      <c r="R57" s="17" t="str">
        <f aca="false">IF(Q57=H57,"Match","Mismatch")</f>
        <v>Match</v>
      </c>
      <c r="S57" s="17" t="str">
        <f aca="false">IFERROR(INDEX(SubCatCat,MATCH(J57,SubCatName,0)),"Not found")</f>
        <v>Office Supplies</v>
      </c>
      <c r="T57" s="18" t="n">
        <f aca="false">IF(K57=0,0,N57/K57)</f>
        <v>0.25</v>
      </c>
      <c r="U57" s="17" t="str">
        <f aca="false">IF(N57&lt;0,"Loss",IF(T57&gt;=0.2,"High margin","Normal"))</f>
        <v>High margin</v>
      </c>
      <c r="V57" s="17" t="str">
        <f aca="false">IF(M57=0,"No discount",IF(M57&lt;=0.2,"Low",IF(M57&lt;=0.4,"Medium","High")))</f>
        <v>No discount</v>
      </c>
      <c r="W57" s="17" t="str">
        <f aca="false">IF(OR(B57="Same Day",B57="First Class"),"Fast","Standard")</f>
        <v>Fast</v>
      </c>
      <c r="X57" s="19" t="n">
        <f aca="false">ROUND(K57/L57,2)</f>
        <v>34.76</v>
      </c>
    </row>
    <row r="58" customFormat="false" ht="15" hidden="false" customHeight="false" outlineLevel="0" collapsed="false">
      <c r="A58" s="14" t="n">
        <v>57</v>
      </c>
      <c r="B58" s="14" t="s">
        <v>171</v>
      </c>
      <c r="C58" s="14" t="s">
        <v>7</v>
      </c>
      <c r="D58" s="14" t="s">
        <v>128</v>
      </c>
      <c r="E58" s="14" t="s">
        <v>187</v>
      </c>
      <c r="F58" s="14" t="s">
        <v>185</v>
      </c>
      <c r="G58" s="14" t="n">
        <v>12180</v>
      </c>
      <c r="H58" s="14" t="s">
        <v>166</v>
      </c>
      <c r="I58" s="14" t="s">
        <v>137</v>
      </c>
      <c r="J58" s="14" t="s">
        <v>150</v>
      </c>
      <c r="K58" s="15" t="n">
        <v>32.4</v>
      </c>
      <c r="L58" s="14" t="n">
        <v>5</v>
      </c>
      <c r="M58" s="16" t="n">
        <v>0</v>
      </c>
      <c r="N58" s="15" t="n">
        <v>15.552</v>
      </c>
      <c r="O58" s="17" t="str">
        <f aca="false">UPPER(LEFT(F58,3))&amp;"-"&amp;G58</f>
        <v>NEW-12180</v>
      </c>
      <c r="P58" s="17" t="str">
        <f aca="false">PROPER(TRIM(E58))</f>
        <v>Troy</v>
      </c>
      <c r="Q58" s="17" t="str">
        <f aca="false">IFERROR(VLOOKUP(F58,Lookups!$A$2:$B$50,2,FALSE()),"Not found")</f>
        <v>East</v>
      </c>
      <c r="R58" s="17" t="str">
        <f aca="false">IF(Q58=H58,"Match","Mismatch")</f>
        <v>Match</v>
      </c>
      <c r="S58" s="17" t="str">
        <f aca="false">IFERROR(INDEX(SubCatCat,MATCH(J58,SubCatName,0)),"Not found")</f>
        <v>Office Supplies</v>
      </c>
      <c r="T58" s="18" t="n">
        <f aca="false">IF(K58=0,0,N58/K58)</f>
        <v>0.48</v>
      </c>
      <c r="U58" s="17" t="str">
        <f aca="false">IF(N58&lt;0,"Loss",IF(T58&gt;=0.2,"High margin","Normal"))</f>
        <v>High margin</v>
      </c>
      <c r="V58" s="17" t="str">
        <f aca="false">IF(M58=0,"No discount",IF(M58&lt;=0.2,"Low",IF(M58&lt;=0.4,"Medium","High")))</f>
        <v>No discount</v>
      </c>
      <c r="W58" s="17" t="str">
        <f aca="false">IF(OR(B58="Same Day",B58="First Class"),"Fast","Standard")</f>
        <v>Fast</v>
      </c>
      <c r="X58" s="19" t="n">
        <f aca="false">ROUND(K58/L58,2)</f>
        <v>6.48</v>
      </c>
    </row>
    <row r="59" customFormat="false" ht="15" hidden="false" customHeight="false" outlineLevel="0" collapsed="false">
      <c r="A59" s="14" t="n">
        <v>58</v>
      </c>
      <c r="B59" s="14" t="s">
        <v>171</v>
      </c>
      <c r="C59" s="14" t="s">
        <v>7</v>
      </c>
      <c r="D59" s="14" t="s">
        <v>128</v>
      </c>
      <c r="E59" s="14" t="s">
        <v>187</v>
      </c>
      <c r="F59" s="14" t="s">
        <v>185</v>
      </c>
      <c r="G59" s="14" t="n">
        <v>12180</v>
      </c>
      <c r="H59" s="14" t="s">
        <v>166</v>
      </c>
      <c r="I59" s="14" t="s">
        <v>132</v>
      </c>
      <c r="J59" s="14" t="s">
        <v>134</v>
      </c>
      <c r="K59" s="15" t="n">
        <v>319.41</v>
      </c>
      <c r="L59" s="14" t="n">
        <v>5</v>
      </c>
      <c r="M59" s="16" t="n">
        <v>0.1</v>
      </c>
      <c r="N59" s="15" t="n">
        <v>7.098</v>
      </c>
      <c r="O59" s="17" t="str">
        <f aca="false">UPPER(LEFT(F59,3))&amp;"-"&amp;G59</f>
        <v>NEW-12180</v>
      </c>
      <c r="P59" s="17" t="str">
        <f aca="false">PROPER(TRIM(E59))</f>
        <v>Troy</v>
      </c>
      <c r="Q59" s="17" t="str">
        <f aca="false">IFERROR(VLOOKUP(F59,Lookups!$A$2:$B$50,2,FALSE()),"Not found")</f>
        <v>East</v>
      </c>
      <c r="R59" s="17" t="str">
        <f aca="false">IF(Q59=H59,"Match","Mismatch")</f>
        <v>Match</v>
      </c>
      <c r="S59" s="17" t="str">
        <f aca="false">IFERROR(INDEX(SubCatCat,MATCH(J59,SubCatName,0)),"Not found")</f>
        <v>Furniture</v>
      </c>
      <c r="T59" s="18" t="n">
        <f aca="false">IF(K59=0,0,N59/K59)</f>
        <v>0.0222222222222222</v>
      </c>
      <c r="U59" s="17" t="str">
        <f aca="false">IF(N59&lt;0,"Loss",IF(T59&gt;=0.2,"High margin","Normal"))</f>
        <v>Normal</v>
      </c>
      <c r="V59" s="17" t="str">
        <f aca="false">IF(M59=0,"No discount",IF(M59&lt;=0.2,"Low",IF(M59&lt;=0.4,"Medium","High")))</f>
        <v>Low</v>
      </c>
      <c r="W59" s="17" t="str">
        <f aca="false">IF(OR(B59="Same Day",B59="First Class"),"Fast","Standard")</f>
        <v>Fast</v>
      </c>
      <c r="X59" s="19" t="n">
        <f aca="false">ROUND(K59/L59,2)</f>
        <v>63.88</v>
      </c>
    </row>
    <row r="60" customFormat="false" ht="15" hidden="false" customHeight="false" outlineLevel="0" collapsed="false">
      <c r="A60" s="14" t="n">
        <v>59</v>
      </c>
      <c r="B60" s="14" t="s">
        <v>171</v>
      </c>
      <c r="C60" s="14" t="s">
        <v>7</v>
      </c>
      <c r="D60" s="14" t="s">
        <v>128</v>
      </c>
      <c r="E60" s="14" t="s">
        <v>187</v>
      </c>
      <c r="F60" s="14" t="s">
        <v>185</v>
      </c>
      <c r="G60" s="14" t="n">
        <v>12180</v>
      </c>
      <c r="H60" s="14" t="s">
        <v>166</v>
      </c>
      <c r="I60" s="14" t="s">
        <v>137</v>
      </c>
      <c r="J60" s="14" t="s">
        <v>150</v>
      </c>
      <c r="K60" s="15" t="n">
        <v>14.56</v>
      </c>
      <c r="L60" s="14" t="n">
        <v>2</v>
      </c>
      <c r="M60" s="16" t="n">
        <v>0</v>
      </c>
      <c r="N60" s="15" t="n">
        <v>6.9888</v>
      </c>
      <c r="O60" s="17" t="str">
        <f aca="false">UPPER(LEFT(F60,3))&amp;"-"&amp;G60</f>
        <v>NEW-12180</v>
      </c>
      <c r="P60" s="17" t="str">
        <f aca="false">PROPER(TRIM(E60))</f>
        <v>Troy</v>
      </c>
      <c r="Q60" s="17" t="str">
        <f aca="false">IFERROR(VLOOKUP(F60,Lookups!$A$2:$B$50,2,FALSE()),"Not found")</f>
        <v>East</v>
      </c>
      <c r="R60" s="17" t="str">
        <f aca="false">IF(Q60=H60,"Match","Mismatch")</f>
        <v>Match</v>
      </c>
      <c r="S60" s="17" t="str">
        <f aca="false">IFERROR(INDEX(SubCatCat,MATCH(J60,SubCatName,0)),"Not found")</f>
        <v>Office Supplies</v>
      </c>
      <c r="T60" s="18" t="n">
        <f aca="false">IF(K60=0,0,N60/K60)</f>
        <v>0.48</v>
      </c>
      <c r="U60" s="17" t="str">
        <f aca="false">IF(N60&lt;0,"Loss",IF(T60&gt;=0.2,"High margin","Normal"))</f>
        <v>High margin</v>
      </c>
      <c r="V60" s="17" t="str">
        <f aca="false">IF(M60=0,"No discount",IF(M60&lt;=0.2,"Low",IF(M60&lt;=0.4,"Medium","High")))</f>
        <v>No discount</v>
      </c>
      <c r="W60" s="17" t="str">
        <f aca="false">IF(OR(B60="Same Day",B60="First Class"),"Fast","Standard")</f>
        <v>Fast</v>
      </c>
      <c r="X60" s="19" t="n">
        <f aca="false">ROUND(K60/L60,2)</f>
        <v>7.28</v>
      </c>
    </row>
    <row r="61" customFormat="false" ht="15" hidden="false" customHeight="false" outlineLevel="0" collapsed="false">
      <c r="A61" s="14" t="n">
        <v>60</v>
      </c>
      <c r="B61" s="14" t="s">
        <v>171</v>
      </c>
      <c r="C61" s="14" t="s">
        <v>7</v>
      </c>
      <c r="D61" s="14" t="s">
        <v>128</v>
      </c>
      <c r="E61" s="14" t="s">
        <v>187</v>
      </c>
      <c r="F61" s="14" t="s">
        <v>185</v>
      </c>
      <c r="G61" s="14" t="n">
        <v>12180</v>
      </c>
      <c r="H61" s="14" t="s">
        <v>166</v>
      </c>
      <c r="I61" s="14" t="s">
        <v>5</v>
      </c>
      <c r="J61" s="14" t="s">
        <v>168</v>
      </c>
      <c r="K61" s="15" t="n">
        <v>30</v>
      </c>
      <c r="L61" s="14" t="n">
        <v>2</v>
      </c>
      <c r="M61" s="16" t="n">
        <v>0</v>
      </c>
      <c r="N61" s="15" t="n">
        <v>3.3</v>
      </c>
      <c r="O61" s="17" t="str">
        <f aca="false">UPPER(LEFT(F61,3))&amp;"-"&amp;G61</f>
        <v>NEW-12180</v>
      </c>
      <c r="P61" s="17" t="str">
        <f aca="false">PROPER(TRIM(E61))</f>
        <v>Troy</v>
      </c>
      <c r="Q61" s="17" t="str">
        <f aca="false">IFERROR(VLOOKUP(F61,Lookups!$A$2:$B$50,2,FALSE()),"Not found")</f>
        <v>East</v>
      </c>
      <c r="R61" s="17" t="str">
        <f aca="false">IF(Q61=H61,"Match","Mismatch")</f>
        <v>Match</v>
      </c>
      <c r="S61" s="17" t="str">
        <f aca="false">IFERROR(INDEX(SubCatCat,MATCH(J61,SubCatName,0)),"Not found")</f>
        <v>Technology</v>
      </c>
      <c r="T61" s="18" t="n">
        <f aca="false">IF(K61=0,0,N61/K61)</f>
        <v>0.11</v>
      </c>
      <c r="U61" s="17" t="str">
        <f aca="false">IF(N61&lt;0,"Loss",IF(T61&gt;=0.2,"High margin","Normal"))</f>
        <v>Normal</v>
      </c>
      <c r="V61" s="17" t="str">
        <f aca="false">IF(M61=0,"No discount",IF(M61&lt;=0.2,"Low",IF(M61&lt;=0.4,"Medium","High")))</f>
        <v>No discount</v>
      </c>
      <c r="W61" s="17" t="str">
        <f aca="false">IF(OR(B61="Same Day",B61="First Class"),"Fast","Standard")</f>
        <v>Fast</v>
      </c>
      <c r="X61" s="19" t="n">
        <f aca="false">ROUND(K61/L61,2)</f>
        <v>15</v>
      </c>
    </row>
    <row r="62" customFormat="false" ht="15" hidden="false" customHeight="false" outlineLevel="0" collapsed="false">
      <c r="A62" s="14" t="n">
        <v>61</v>
      </c>
      <c r="B62" s="14" t="s">
        <v>171</v>
      </c>
      <c r="C62" s="14" t="s">
        <v>7</v>
      </c>
      <c r="D62" s="14" t="s">
        <v>128</v>
      </c>
      <c r="E62" s="14" t="s">
        <v>187</v>
      </c>
      <c r="F62" s="14" t="s">
        <v>185</v>
      </c>
      <c r="G62" s="14" t="n">
        <v>12180</v>
      </c>
      <c r="H62" s="14" t="s">
        <v>166</v>
      </c>
      <c r="I62" s="14" t="s">
        <v>137</v>
      </c>
      <c r="J62" s="14" t="s">
        <v>146</v>
      </c>
      <c r="K62" s="15" t="n">
        <v>48.48</v>
      </c>
      <c r="L62" s="14" t="n">
        <v>4</v>
      </c>
      <c r="M62" s="16" t="n">
        <v>0.2</v>
      </c>
      <c r="N62" s="15" t="n">
        <v>16.362</v>
      </c>
      <c r="O62" s="17" t="str">
        <f aca="false">UPPER(LEFT(F62,3))&amp;"-"&amp;G62</f>
        <v>NEW-12180</v>
      </c>
      <c r="P62" s="17" t="str">
        <f aca="false">PROPER(TRIM(E62))</f>
        <v>Troy</v>
      </c>
      <c r="Q62" s="17" t="str">
        <f aca="false">IFERROR(VLOOKUP(F62,Lookups!$A$2:$B$50,2,FALSE()),"Not found")</f>
        <v>East</v>
      </c>
      <c r="R62" s="17" t="str">
        <f aca="false">IF(Q62=H62,"Match","Mismatch")</f>
        <v>Match</v>
      </c>
      <c r="S62" s="17" t="str">
        <f aca="false">IFERROR(INDEX(SubCatCat,MATCH(J62,SubCatName,0)),"Not found")</f>
        <v>Office Supplies</v>
      </c>
      <c r="T62" s="18" t="n">
        <f aca="false">IF(K62=0,0,N62/K62)</f>
        <v>0.3375</v>
      </c>
      <c r="U62" s="17" t="str">
        <f aca="false">IF(N62&lt;0,"Loss",IF(T62&gt;=0.2,"High margin","Normal"))</f>
        <v>High margin</v>
      </c>
      <c r="V62" s="17" t="str">
        <f aca="false">IF(M62=0,"No discount",IF(M62&lt;=0.2,"Low",IF(M62&lt;=0.4,"Medium","High")))</f>
        <v>Low</v>
      </c>
      <c r="W62" s="17" t="str">
        <f aca="false">IF(OR(B62="Same Day",B62="First Class"),"Fast","Standard")</f>
        <v>Fast</v>
      </c>
      <c r="X62" s="19" t="n">
        <f aca="false">ROUND(K62/L62,2)</f>
        <v>12.12</v>
      </c>
    </row>
    <row r="63" customFormat="false" ht="15" hidden="false" customHeight="false" outlineLevel="0" collapsed="false">
      <c r="A63" s="14" t="n">
        <v>62</v>
      </c>
      <c r="B63" s="14" t="s">
        <v>171</v>
      </c>
      <c r="C63" s="14" t="s">
        <v>7</v>
      </c>
      <c r="D63" s="14" t="s">
        <v>128</v>
      </c>
      <c r="E63" s="14" t="s">
        <v>187</v>
      </c>
      <c r="F63" s="14" t="s">
        <v>185</v>
      </c>
      <c r="G63" s="14" t="n">
        <v>12180</v>
      </c>
      <c r="H63" s="14" t="s">
        <v>166</v>
      </c>
      <c r="I63" s="14" t="s">
        <v>137</v>
      </c>
      <c r="J63" s="14" t="s">
        <v>145</v>
      </c>
      <c r="K63" s="15" t="n">
        <v>1.68</v>
      </c>
      <c r="L63" s="14" t="n">
        <v>1</v>
      </c>
      <c r="M63" s="16" t="n">
        <v>0</v>
      </c>
      <c r="N63" s="15" t="n">
        <v>0.84</v>
      </c>
      <c r="O63" s="17" t="str">
        <f aca="false">UPPER(LEFT(F63,3))&amp;"-"&amp;G63</f>
        <v>NEW-12180</v>
      </c>
      <c r="P63" s="17" t="str">
        <f aca="false">PROPER(TRIM(E63))</f>
        <v>Troy</v>
      </c>
      <c r="Q63" s="17" t="str">
        <f aca="false">IFERROR(VLOOKUP(F63,Lookups!$A$2:$B$50,2,FALSE()),"Not found")</f>
        <v>East</v>
      </c>
      <c r="R63" s="17" t="str">
        <f aca="false">IF(Q63=H63,"Match","Mismatch")</f>
        <v>Match</v>
      </c>
      <c r="S63" s="17" t="str">
        <f aca="false">IFERROR(INDEX(SubCatCat,MATCH(J63,SubCatName,0)),"Not found")</f>
        <v>Office Supplies</v>
      </c>
      <c r="T63" s="18" t="n">
        <f aca="false">IF(K63=0,0,N63/K63)</f>
        <v>0.5</v>
      </c>
      <c r="U63" s="17" t="str">
        <f aca="false">IF(N63&lt;0,"Loss",IF(T63&gt;=0.2,"High margin","Normal"))</f>
        <v>High margin</v>
      </c>
      <c r="V63" s="17" t="str">
        <f aca="false">IF(M63=0,"No discount",IF(M63&lt;=0.2,"Low",IF(M63&lt;=0.4,"Medium","High")))</f>
        <v>No discount</v>
      </c>
      <c r="W63" s="17" t="str">
        <f aca="false">IF(OR(B63="Same Day",B63="First Class"),"Fast","Standard")</f>
        <v>Fast</v>
      </c>
      <c r="X63" s="19" t="n">
        <f aca="false">ROUND(K63/L63,2)</f>
        <v>1.68</v>
      </c>
    </row>
    <row r="64" customFormat="false" ht="15" hidden="false" customHeight="false" outlineLevel="0" collapsed="false">
      <c r="A64" s="14" t="n">
        <v>63</v>
      </c>
      <c r="B64" s="14" t="s">
        <v>139</v>
      </c>
      <c r="C64" s="14" t="s">
        <v>7</v>
      </c>
      <c r="D64" s="14" t="s">
        <v>128</v>
      </c>
      <c r="E64" s="14" t="s">
        <v>136</v>
      </c>
      <c r="F64" s="14" t="s">
        <v>9</v>
      </c>
      <c r="G64" s="14" t="n">
        <v>90004</v>
      </c>
      <c r="H64" s="14" t="s">
        <v>3</v>
      </c>
      <c r="I64" s="14" t="s">
        <v>5</v>
      </c>
      <c r="J64" s="14" t="s">
        <v>168</v>
      </c>
      <c r="K64" s="15" t="n">
        <v>13.98</v>
      </c>
      <c r="L64" s="14" t="n">
        <v>2</v>
      </c>
      <c r="M64" s="16" t="n">
        <v>0</v>
      </c>
      <c r="N64" s="15" t="n">
        <v>6.1512</v>
      </c>
      <c r="O64" s="17" t="str">
        <f aca="false">UPPER(LEFT(F64,3))&amp;"-"&amp;G64</f>
        <v>CAL-90004</v>
      </c>
      <c r="P64" s="17" t="str">
        <f aca="false">PROPER(TRIM(E64))</f>
        <v>Los Angeles</v>
      </c>
      <c r="Q64" s="17" t="str">
        <f aca="false">IFERROR(VLOOKUP(F64,Lookups!$A$2:$B$50,2,FALSE()),"Not found")</f>
        <v>West</v>
      </c>
      <c r="R64" s="17" t="str">
        <f aca="false">IF(Q64=H64,"Match","Mismatch")</f>
        <v>Match</v>
      </c>
      <c r="S64" s="17" t="str">
        <f aca="false">IFERROR(INDEX(SubCatCat,MATCH(J64,SubCatName,0)),"Not found")</f>
        <v>Technology</v>
      </c>
      <c r="T64" s="18" t="n">
        <f aca="false">IF(K64=0,0,N64/K64)</f>
        <v>0.44</v>
      </c>
      <c r="U64" s="17" t="str">
        <f aca="false">IF(N64&lt;0,"Loss",IF(T64&gt;=0.2,"High margin","Normal"))</f>
        <v>High margin</v>
      </c>
      <c r="V64" s="17" t="str">
        <f aca="false">IF(M64=0,"No discount",IF(M64&lt;=0.2,"Low",IF(M64&lt;=0.4,"Medium","High")))</f>
        <v>No discount</v>
      </c>
      <c r="W64" s="17" t="str">
        <f aca="false">IF(OR(B64="Same Day",B64="First Class"),"Fast","Standard")</f>
        <v>Standard</v>
      </c>
      <c r="X64" s="19" t="n">
        <f aca="false">ROUND(K64/L64,2)</f>
        <v>6.99</v>
      </c>
    </row>
    <row r="65" customFormat="false" ht="15" hidden="false" customHeight="false" outlineLevel="0" collapsed="false">
      <c r="A65" s="14" t="n">
        <v>64</v>
      </c>
      <c r="B65" s="14" t="s">
        <v>139</v>
      </c>
      <c r="C65" s="14" t="s">
        <v>7</v>
      </c>
      <c r="D65" s="14" t="s">
        <v>128</v>
      </c>
      <c r="E65" s="14" t="s">
        <v>136</v>
      </c>
      <c r="F65" s="14" t="s">
        <v>9</v>
      </c>
      <c r="G65" s="14" t="n">
        <v>90004</v>
      </c>
      <c r="H65" s="14" t="s">
        <v>3</v>
      </c>
      <c r="I65" s="14" t="s">
        <v>137</v>
      </c>
      <c r="J65" s="14" t="s">
        <v>146</v>
      </c>
      <c r="K65" s="15" t="n">
        <v>25.824</v>
      </c>
      <c r="L65" s="14" t="n">
        <v>6</v>
      </c>
      <c r="M65" s="16" t="n">
        <v>0.2</v>
      </c>
      <c r="N65" s="15" t="n">
        <v>9.3612</v>
      </c>
      <c r="O65" s="17" t="str">
        <f aca="false">UPPER(LEFT(F65,3))&amp;"-"&amp;G65</f>
        <v>CAL-90004</v>
      </c>
      <c r="P65" s="17" t="str">
        <f aca="false">PROPER(TRIM(E65))</f>
        <v>Los Angeles</v>
      </c>
      <c r="Q65" s="17" t="str">
        <f aca="false">IFERROR(VLOOKUP(F65,Lookups!$A$2:$B$50,2,FALSE()),"Not found")</f>
        <v>West</v>
      </c>
      <c r="R65" s="17" t="str">
        <f aca="false">IF(Q65=H65,"Match","Mismatch")</f>
        <v>Match</v>
      </c>
      <c r="S65" s="17" t="str">
        <f aca="false">IFERROR(INDEX(SubCatCat,MATCH(J65,SubCatName,0)),"Not found")</f>
        <v>Office Supplies</v>
      </c>
      <c r="T65" s="18" t="n">
        <f aca="false">IF(K65=0,0,N65/K65)</f>
        <v>0.3625</v>
      </c>
      <c r="U65" s="17" t="str">
        <f aca="false">IF(N65&lt;0,"Loss",IF(T65&gt;=0.2,"High margin","Normal"))</f>
        <v>High margin</v>
      </c>
      <c r="V65" s="17" t="str">
        <f aca="false">IF(M65=0,"No discount",IF(M65&lt;=0.2,"Low",IF(M65&lt;=0.4,"Medium","High")))</f>
        <v>Low</v>
      </c>
      <c r="W65" s="17" t="str">
        <f aca="false">IF(OR(B65="Same Day",B65="First Class"),"Fast","Standard")</f>
        <v>Standard</v>
      </c>
      <c r="X65" s="19" t="n">
        <f aca="false">ROUND(K65/L65,2)</f>
        <v>4.3</v>
      </c>
    </row>
    <row r="66" customFormat="false" ht="15" hidden="false" customHeight="false" outlineLevel="0" collapsed="false">
      <c r="A66" s="14" t="n">
        <v>65</v>
      </c>
      <c r="B66" s="14" t="s">
        <v>139</v>
      </c>
      <c r="C66" s="14" t="s">
        <v>7</v>
      </c>
      <c r="D66" s="14" t="s">
        <v>128</v>
      </c>
      <c r="E66" s="14" t="s">
        <v>136</v>
      </c>
      <c r="F66" s="14" t="s">
        <v>9</v>
      </c>
      <c r="G66" s="14" t="n">
        <v>90004</v>
      </c>
      <c r="H66" s="14" t="s">
        <v>3</v>
      </c>
      <c r="I66" s="14" t="s">
        <v>137</v>
      </c>
      <c r="J66" s="14" t="s">
        <v>150</v>
      </c>
      <c r="K66" s="15" t="n">
        <v>146.73</v>
      </c>
      <c r="L66" s="14" t="n">
        <v>3</v>
      </c>
      <c r="M66" s="16" t="n">
        <v>0</v>
      </c>
      <c r="N66" s="15" t="n">
        <v>68.9631</v>
      </c>
      <c r="O66" s="17" t="str">
        <f aca="false">UPPER(LEFT(F66,3))&amp;"-"&amp;G66</f>
        <v>CAL-90004</v>
      </c>
      <c r="P66" s="17" t="str">
        <f aca="false">PROPER(TRIM(E66))</f>
        <v>Los Angeles</v>
      </c>
      <c r="Q66" s="17" t="str">
        <f aca="false">IFERROR(VLOOKUP(F66,Lookups!$A$2:$B$50,2,FALSE()),"Not found")</f>
        <v>West</v>
      </c>
      <c r="R66" s="17" t="str">
        <f aca="false">IF(Q66=H66,"Match","Mismatch")</f>
        <v>Match</v>
      </c>
      <c r="S66" s="17" t="str">
        <f aca="false">IFERROR(INDEX(SubCatCat,MATCH(J66,SubCatName,0)),"Not found")</f>
        <v>Office Supplies</v>
      </c>
      <c r="T66" s="18" t="n">
        <f aca="false">IF(K66=0,0,N66/K66)</f>
        <v>0.47</v>
      </c>
      <c r="U66" s="17" t="str">
        <f aca="false">IF(N66&lt;0,"Loss",IF(T66&gt;=0.2,"High margin","Normal"))</f>
        <v>High margin</v>
      </c>
      <c r="V66" s="17" t="str">
        <f aca="false">IF(M66=0,"No discount",IF(M66&lt;=0.2,"Low",IF(M66&lt;=0.4,"Medium","High")))</f>
        <v>No discount</v>
      </c>
      <c r="W66" s="17" t="str">
        <f aca="false">IF(OR(B66="Same Day",B66="First Class"),"Fast","Standard")</f>
        <v>Standard</v>
      </c>
      <c r="X66" s="19" t="n">
        <f aca="false">ROUND(K66/L66,2)</f>
        <v>48.91</v>
      </c>
    </row>
    <row r="67" customFormat="false" ht="15" hidden="false" customHeight="false" outlineLevel="0" collapsed="false">
      <c r="A67" s="14" t="n">
        <v>66</v>
      </c>
      <c r="B67" s="14" t="s">
        <v>139</v>
      </c>
      <c r="C67" s="14" t="s">
        <v>7</v>
      </c>
      <c r="D67" s="14" t="s">
        <v>128</v>
      </c>
      <c r="E67" s="14" t="s">
        <v>136</v>
      </c>
      <c r="F67" s="14" t="s">
        <v>9</v>
      </c>
      <c r="G67" s="14" t="n">
        <v>90004</v>
      </c>
      <c r="H67" s="14" t="s">
        <v>3</v>
      </c>
      <c r="I67" s="14" t="s">
        <v>132</v>
      </c>
      <c r="J67" s="14" t="s">
        <v>144</v>
      </c>
      <c r="K67" s="15" t="n">
        <v>79.76</v>
      </c>
      <c r="L67" s="14" t="n">
        <v>4</v>
      </c>
      <c r="M67" s="16" t="n">
        <v>0</v>
      </c>
      <c r="N67" s="15" t="n">
        <v>22.3328</v>
      </c>
      <c r="O67" s="17" t="str">
        <f aca="false">UPPER(LEFT(F67,3))&amp;"-"&amp;G67</f>
        <v>CAL-90004</v>
      </c>
      <c r="P67" s="17" t="str">
        <f aca="false">PROPER(TRIM(E67))</f>
        <v>Los Angeles</v>
      </c>
      <c r="Q67" s="17" t="str">
        <f aca="false">IFERROR(VLOOKUP(F67,Lookups!$A$2:$B$50,2,FALSE()),"Not found")</f>
        <v>West</v>
      </c>
      <c r="R67" s="17" t="str">
        <f aca="false">IF(Q67=H67,"Match","Mismatch")</f>
        <v>Match</v>
      </c>
      <c r="S67" s="17" t="str">
        <f aca="false">IFERROR(INDEX(SubCatCat,MATCH(J67,SubCatName,0)),"Not found")</f>
        <v>Furniture</v>
      </c>
      <c r="T67" s="18" t="n">
        <f aca="false">IF(K67=0,0,N67/K67)</f>
        <v>0.28</v>
      </c>
      <c r="U67" s="17" t="str">
        <f aca="false">IF(N67&lt;0,"Loss",IF(T67&gt;=0.2,"High margin","Normal"))</f>
        <v>High margin</v>
      </c>
      <c r="V67" s="17" t="str">
        <f aca="false">IF(M67=0,"No discount",IF(M67&lt;=0.2,"Low",IF(M67&lt;=0.4,"Medium","High")))</f>
        <v>No discount</v>
      </c>
      <c r="W67" s="17" t="str">
        <f aca="false">IF(OR(B67="Same Day",B67="First Class"),"Fast","Standard")</f>
        <v>Standard</v>
      </c>
      <c r="X67" s="19" t="n">
        <f aca="false">ROUND(K67/L67,2)</f>
        <v>19.94</v>
      </c>
    </row>
    <row r="68" customFormat="false" ht="15" hidden="false" customHeight="false" outlineLevel="0" collapsed="false">
      <c r="A68" s="14" t="n">
        <v>67</v>
      </c>
      <c r="B68" s="14" t="s">
        <v>139</v>
      </c>
      <c r="C68" s="14" t="s">
        <v>153</v>
      </c>
      <c r="D68" s="14" t="s">
        <v>128</v>
      </c>
      <c r="E68" s="14" t="s">
        <v>188</v>
      </c>
      <c r="F68" s="14" t="s">
        <v>174</v>
      </c>
      <c r="G68" s="14" t="n">
        <v>60610</v>
      </c>
      <c r="H68" s="14" t="s">
        <v>156</v>
      </c>
      <c r="I68" s="14" t="s">
        <v>132</v>
      </c>
      <c r="J68" s="14" t="s">
        <v>134</v>
      </c>
      <c r="K68" s="15" t="n">
        <v>213.115</v>
      </c>
      <c r="L68" s="14" t="n">
        <v>5</v>
      </c>
      <c r="M68" s="16" t="n">
        <v>0.3</v>
      </c>
      <c r="N68" s="15" t="n">
        <v>-15.2225</v>
      </c>
      <c r="O68" s="17" t="str">
        <f aca="false">UPPER(LEFT(F68,3))&amp;"-"&amp;G68</f>
        <v>ILL-60610</v>
      </c>
      <c r="P68" s="17" t="str">
        <f aca="false">PROPER(TRIM(E68))</f>
        <v>Chicago</v>
      </c>
      <c r="Q68" s="17" t="str">
        <f aca="false">IFERROR(VLOOKUP(F68,Lookups!$A$2:$B$50,2,FALSE()),"Not found")</f>
        <v>Central</v>
      </c>
      <c r="R68" s="17" t="str">
        <f aca="false">IF(Q68=H68,"Match","Mismatch")</f>
        <v>Match</v>
      </c>
      <c r="S68" s="17" t="str">
        <f aca="false">IFERROR(INDEX(SubCatCat,MATCH(J68,SubCatName,0)),"Not found")</f>
        <v>Furniture</v>
      </c>
      <c r="T68" s="18" t="n">
        <f aca="false">IF(K68=0,0,N68/K68)</f>
        <v>-0.0714285714285714</v>
      </c>
      <c r="U68" s="17" t="str">
        <f aca="false">IF(N68&lt;0,"Loss",IF(T68&gt;=0.2,"High margin","Normal"))</f>
        <v>Loss</v>
      </c>
      <c r="V68" s="17" t="str">
        <f aca="false">IF(M68=0,"No discount",IF(M68&lt;=0.2,"Low",IF(M68&lt;=0.4,"Medium","High")))</f>
        <v>Medium</v>
      </c>
      <c r="W68" s="17" t="str">
        <f aca="false">IF(OR(B68="Same Day",B68="First Class"),"Fast","Standard")</f>
        <v>Standard</v>
      </c>
      <c r="X68" s="19" t="n">
        <f aca="false">ROUND(K68/L68,2)</f>
        <v>42.62</v>
      </c>
    </row>
    <row r="69" customFormat="false" ht="15" hidden="false" customHeight="false" outlineLevel="0" collapsed="false">
      <c r="A69" s="14" t="n">
        <v>68</v>
      </c>
      <c r="B69" s="14" t="s">
        <v>139</v>
      </c>
      <c r="C69" s="14" t="s">
        <v>135</v>
      </c>
      <c r="D69" s="14" t="s">
        <v>128</v>
      </c>
      <c r="E69" s="14" t="s">
        <v>189</v>
      </c>
      <c r="F69" s="14" t="s">
        <v>190</v>
      </c>
      <c r="G69" s="14" t="n">
        <v>85234</v>
      </c>
      <c r="H69" s="14" t="s">
        <v>3</v>
      </c>
      <c r="I69" s="14" t="s">
        <v>137</v>
      </c>
      <c r="J69" s="14" t="s">
        <v>145</v>
      </c>
      <c r="K69" s="15" t="n">
        <v>1113.024</v>
      </c>
      <c r="L69" s="14" t="n">
        <v>8</v>
      </c>
      <c r="M69" s="16" t="n">
        <v>0.2</v>
      </c>
      <c r="N69" s="15" t="n">
        <v>111.3024</v>
      </c>
      <c r="O69" s="17" t="str">
        <f aca="false">UPPER(LEFT(F69,3))&amp;"-"&amp;G69</f>
        <v>ARI-85234</v>
      </c>
      <c r="P69" s="17" t="str">
        <f aca="false">PROPER(TRIM(E69))</f>
        <v>Gilbert</v>
      </c>
      <c r="Q69" s="17" t="str">
        <f aca="false">IFERROR(VLOOKUP(F69,Lookups!$A$2:$B$50,2,FALSE()),"Not found")</f>
        <v>West</v>
      </c>
      <c r="R69" s="17" t="str">
        <f aca="false">IF(Q69=H69,"Match","Mismatch")</f>
        <v>Match</v>
      </c>
      <c r="S69" s="17" t="str">
        <f aca="false">IFERROR(INDEX(SubCatCat,MATCH(J69,SubCatName,0)),"Not found")</f>
        <v>Office Supplies</v>
      </c>
      <c r="T69" s="18" t="n">
        <f aca="false">IF(K69=0,0,N69/K69)</f>
        <v>0.1</v>
      </c>
      <c r="U69" s="17" t="str">
        <f aca="false">IF(N69&lt;0,"Loss",IF(T69&gt;=0.2,"High margin","Normal"))</f>
        <v>Normal</v>
      </c>
      <c r="V69" s="17" t="str">
        <f aca="false">IF(M69=0,"No discount",IF(M69&lt;=0.2,"Low",IF(M69&lt;=0.4,"Medium","High")))</f>
        <v>Low</v>
      </c>
      <c r="W69" s="17" t="str">
        <f aca="false">IF(OR(B69="Same Day",B69="First Class"),"Fast","Standard")</f>
        <v>Standard</v>
      </c>
      <c r="X69" s="19" t="n">
        <f aca="false">ROUND(K69/L69,2)</f>
        <v>139.13</v>
      </c>
    </row>
    <row r="70" customFormat="false" ht="15" hidden="false" customHeight="false" outlineLevel="0" collapsed="false">
      <c r="A70" s="14" t="n">
        <v>69</v>
      </c>
      <c r="B70" s="14" t="s">
        <v>139</v>
      </c>
      <c r="C70" s="14" t="s">
        <v>135</v>
      </c>
      <c r="D70" s="14" t="s">
        <v>128</v>
      </c>
      <c r="E70" s="14" t="s">
        <v>189</v>
      </c>
      <c r="F70" s="14" t="s">
        <v>190</v>
      </c>
      <c r="G70" s="14" t="n">
        <v>85234</v>
      </c>
      <c r="H70" s="14" t="s">
        <v>3</v>
      </c>
      <c r="I70" s="14" t="s">
        <v>5</v>
      </c>
      <c r="J70" s="14" t="s">
        <v>11</v>
      </c>
      <c r="K70" s="15" t="n">
        <v>167.968</v>
      </c>
      <c r="L70" s="14" t="n">
        <v>4</v>
      </c>
      <c r="M70" s="16" t="n">
        <v>0.2</v>
      </c>
      <c r="N70" s="15" t="n">
        <v>62.988</v>
      </c>
      <c r="O70" s="17" t="str">
        <f aca="false">UPPER(LEFT(F70,3))&amp;"-"&amp;G70</f>
        <v>ARI-85234</v>
      </c>
      <c r="P70" s="17" t="str">
        <f aca="false">PROPER(TRIM(E70))</f>
        <v>Gilbert</v>
      </c>
      <c r="Q70" s="17" t="str">
        <f aca="false">IFERROR(VLOOKUP(F70,Lookups!$A$2:$B$50,2,FALSE()),"Not found")</f>
        <v>West</v>
      </c>
      <c r="R70" s="17" t="str">
        <f aca="false">IF(Q70=H70,"Match","Mismatch")</f>
        <v>Match</v>
      </c>
      <c r="S70" s="17" t="str">
        <f aca="false">IFERROR(INDEX(SubCatCat,MATCH(J70,SubCatName,0)),"Not found")</f>
        <v>Technology</v>
      </c>
      <c r="T70" s="18" t="n">
        <f aca="false">IF(K70=0,0,N70/K70)</f>
        <v>0.375</v>
      </c>
      <c r="U70" s="17" t="str">
        <f aca="false">IF(N70&lt;0,"Loss",IF(T70&gt;=0.2,"High margin","Normal"))</f>
        <v>High margin</v>
      </c>
      <c r="V70" s="17" t="str">
        <f aca="false">IF(M70=0,"No discount",IF(M70&lt;=0.2,"Low",IF(M70&lt;=0.4,"Medium","High")))</f>
        <v>Low</v>
      </c>
      <c r="W70" s="17" t="str">
        <f aca="false">IF(OR(B70="Same Day",B70="First Class"),"Fast","Standard")</f>
        <v>Standard</v>
      </c>
      <c r="X70" s="19" t="n">
        <f aca="false">ROUND(K70/L70,2)</f>
        <v>41.99</v>
      </c>
    </row>
    <row r="71" customFormat="false" ht="15" hidden="false" customHeight="false" outlineLevel="0" collapsed="false">
      <c r="A71" s="14" t="n">
        <v>70</v>
      </c>
      <c r="B71" s="14" t="s">
        <v>171</v>
      </c>
      <c r="C71" s="14" t="s">
        <v>7</v>
      </c>
      <c r="D71" s="14" t="s">
        <v>128</v>
      </c>
      <c r="E71" s="14" t="s">
        <v>191</v>
      </c>
      <c r="F71" s="14" t="s">
        <v>192</v>
      </c>
      <c r="G71" s="14" t="n">
        <v>22153</v>
      </c>
      <c r="H71" s="14" t="s">
        <v>131</v>
      </c>
      <c r="I71" s="14" t="s">
        <v>137</v>
      </c>
      <c r="J71" s="14" t="s">
        <v>150</v>
      </c>
      <c r="K71" s="15" t="n">
        <v>75.88</v>
      </c>
      <c r="L71" s="14" t="n">
        <v>2</v>
      </c>
      <c r="M71" s="16" t="n">
        <v>0</v>
      </c>
      <c r="N71" s="15" t="n">
        <v>35.6636</v>
      </c>
      <c r="O71" s="17" t="str">
        <f aca="false">UPPER(LEFT(F71,3))&amp;"-"&amp;G71</f>
        <v>VIR-22153</v>
      </c>
      <c r="P71" s="17" t="str">
        <f aca="false">PROPER(TRIM(E71))</f>
        <v>Springfield</v>
      </c>
      <c r="Q71" s="17" t="str">
        <f aca="false">IFERROR(VLOOKUP(F71,Lookups!$A$2:$B$50,2,FALSE()),"Not found")</f>
        <v>South</v>
      </c>
      <c r="R71" s="17" t="str">
        <f aca="false">IF(Q71=H71,"Match","Mismatch")</f>
        <v>Match</v>
      </c>
      <c r="S71" s="17" t="str">
        <f aca="false">IFERROR(INDEX(SubCatCat,MATCH(J71,SubCatName,0)),"Not found")</f>
        <v>Office Supplies</v>
      </c>
      <c r="T71" s="18" t="n">
        <f aca="false">IF(K71=0,0,N71/K71)</f>
        <v>0.47</v>
      </c>
      <c r="U71" s="17" t="str">
        <f aca="false">IF(N71&lt;0,"Loss",IF(T71&gt;=0.2,"High margin","Normal"))</f>
        <v>High margin</v>
      </c>
      <c r="V71" s="17" t="str">
        <f aca="false">IF(M71=0,"No discount",IF(M71&lt;=0.2,"Low",IF(M71&lt;=0.4,"Medium","High")))</f>
        <v>No discount</v>
      </c>
      <c r="W71" s="17" t="str">
        <f aca="false">IF(OR(B71="Same Day",B71="First Class"),"Fast","Standard")</f>
        <v>Fast</v>
      </c>
      <c r="X71" s="19" t="n">
        <f aca="false">ROUND(K71/L71,2)</f>
        <v>37.94</v>
      </c>
    </row>
    <row r="72" customFormat="false" ht="15" hidden="false" customHeight="false" outlineLevel="0" collapsed="false">
      <c r="A72" s="14" t="n">
        <v>71</v>
      </c>
      <c r="B72" s="14" t="s">
        <v>139</v>
      </c>
      <c r="C72" s="14" t="s">
        <v>7</v>
      </c>
      <c r="D72" s="14" t="s">
        <v>128</v>
      </c>
      <c r="E72" s="14" t="s">
        <v>184</v>
      </c>
      <c r="F72" s="14" t="s">
        <v>185</v>
      </c>
      <c r="G72" s="14" t="n">
        <v>10009</v>
      </c>
      <c r="H72" s="14" t="s">
        <v>166</v>
      </c>
      <c r="I72" s="14" t="s">
        <v>137</v>
      </c>
      <c r="J72" s="14" t="s">
        <v>146</v>
      </c>
      <c r="K72" s="15" t="n">
        <v>4.616</v>
      </c>
      <c r="L72" s="14" t="n">
        <v>1</v>
      </c>
      <c r="M72" s="16" t="n">
        <v>0.2</v>
      </c>
      <c r="N72" s="15" t="n">
        <v>1.731</v>
      </c>
      <c r="O72" s="17" t="str">
        <f aca="false">UPPER(LEFT(F72,3))&amp;"-"&amp;G72</f>
        <v>NEW-10009</v>
      </c>
      <c r="P72" s="17" t="str">
        <f aca="false">PROPER(TRIM(E72))</f>
        <v>New York City</v>
      </c>
      <c r="Q72" s="17" t="str">
        <f aca="false">IFERROR(VLOOKUP(F72,Lookups!$A$2:$B$50,2,FALSE()),"Not found")</f>
        <v>East</v>
      </c>
      <c r="R72" s="17" t="str">
        <f aca="false">IF(Q72=H72,"Match","Mismatch")</f>
        <v>Match</v>
      </c>
      <c r="S72" s="17" t="str">
        <f aca="false">IFERROR(INDEX(SubCatCat,MATCH(J72,SubCatName,0)),"Not found")</f>
        <v>Office Supplies</v>
      </c>
      <c r="T72" s="18" t="n">
        <f aca="false">IF(K72=0,0,N72/K72)</f>
        <v>0.375</v>
      </c>
      <c r="U72" s="17" t="str">
        <f aca="false">IF(N72&lt;0,"Loss",IF(T72&gt;=0.2,"High margin","Normal"))</f>
        <v>High margin</v>
      </c>
      <c r="V72" s="17" t="str">
        <f aca="false">IF(M72=0,"No discount",IF(M72&lt;=0.2,"Low",IF(M72&lt;=0.4,"Medium","High")))</f>
        <v>Low</v>
      </c>
      <c r="W72" s="17" t="str">
        <f aca="false">IF(OR(B72="Same Day",B72="First Class"),"Fast","Standard")</f>
        <v>Standard</v>
      </c>
      <c r="X72" s="19" t="n">
        <f aca="false">ROUND(K72/L72,2)</f>
        <v>4.62</v>
      </c>
    </row>
    <row r="73" customFormat="false" ht="15" hidden="false" customHeight="false" outlineLevel="0" collapsed="false">
      <c r="A73" s="14" t="n">
        <v>72</v>
      </c>
      <c r="B73" s="14" t="s">
        <v>127</v>
      </c>
      <c r="C73" s="14" t="s">
        <v>7</v>
      </c>
      <c r="D73" s="14" t="s">
        <v>128</v>
      </c>
      <c r="E73" s="14" t="s">
        <v>193</v>
      </c>
      <c r="F73" s="14" t="s">
        <v>179</v>
      </c>
      <c r="G73" s="14" t="n">
        <v>49201</v>
      </c>
      <c r="H73" s="14" t="s">
        <v>156</v>
      </c>
      <c r="I73" s="14" t="s">
        <v>137</v>
      </c>
      <c r="J73" s="14" t="s">
        <v>150</v>
      </c>
      <c r="K73" s="15" t="n">
        <v>19.05</v>
      </c>
      <c r="L73" s="14" t="n">
        <v>3</v>
      </c>
      <c r="M73" s="16" t="n">
        <v>0</v>
      </c>
      <c r="N73" s="15" t="n">
        <v>8.763</v>
      </c>
      <c r="O73" s="17" t="str">
        <f aca="false">UPPER(LEFT(F73,3))&amp;"-"&amp;G73</f>
        <v>MIC-49201</v>
      </c>
      <c r="P73" s="17" t="str">
        <f aca="false">PROPER(TRIM(E73))</f>
        <v>Jackson</v>
      </c>
      <c r="Q73" s="17" t="str">
        <f aca="false">IFERROR(VLOOKUP(F73,Lookups!$A$2:$B$50,2,FALSE()),"Not found")</f>
        <v>Central</v>
      </c>
      <c r="R73" s="17" t="str">
        <f aca="false">IF(Q73=H73,"Match","Mismatch")</f>
        <v>Match</v>
      </c>
      <c r="S73" s="17" t="str">
        <f aca="false">IFERROR(INDEX(SubCatCat,MATCH(J73,SubCatName,0)),"Not found")</f>
        <v>Office Supplies</v>
      </c>
      <c r="T73" s="18" t="n">
        <f aca="false">IF(K73=0,0,N73/K73)</f>
        <v>0.46</v>
      </c>
      <c r="U73" s="17" t="str">
        <f aca="false">IF(N73&lt;0,"Loss",IF(T73&gt;=0.2,"High margin","Normal"))</f>
        <v>High margin</v>
      </c>
      <c r="V73" s="17" t="str">
        <f aca="false">IF(M73=0,"No discount",IF(M73&lt;=0.2,"Low",IF(M73&lt;=0.4,"Medium","High")))</f>
        <v>No discount</v>
      </c>
      <c r="W73" s="17" t="str">
        <f aca="false">IF(OR(B73="Same Day",B73="First Class"),"Fast","Standard")</f>
        <v>Standard</v>
      </c>
      <c r="X73" s="19" t="n">
        <f aca="false">ROUND(K73/L73,2)</f>
        <v>6.35</v>
      </c>
    </row>
    <row r="74" customFormat="false" ht="15" hidden="false" customHeight="false" outlineLevel="0" collapsed="false">
      <c r="A74" s="14" t="n">
        <v>73</v>
      </c>
      <c r="B74" s="14" t="s">
        <v>139</v>
      </c>
      <c r="C74" s="14" t="s">
        <v>7</v>
      </c>
      <c r="D74" s="14" t="s">
        <v>128</v>
      </c>
      <c r="E74" s="14" t="s">
        <v>194</v>
      </c>
      <c r="F74" s="14" t="s">
        <v>195</v>
      </c>
      <c r="G74" s="14" t="n">
        <v>38109</v>
      </c>
      <c r="H74" s="14" t="s">
        <v>131</v>
      </c>
      <c r="I74" s="14" t="s">
        <v>132</v>
      </c>
      <c r="J74" s="14" t="s">
        <v>134</v>
      </c>
      <c r="K74" s="15" t="n">
        <v>831.936</v>
      </c>
      <c r="L74" s="14" t="n">
        <v>8</v>
      </c>
      <c r="M74" s="16" t="n">
        <v>0.2</v>
      </c>
      <c r="N74" s="15" t="n">
        <v>-114.3912</v>
      </c>
      <c r="O74" s="17" t="str">
        <f aca="false">UPPER(LEFT(F74,3))&amp;"-"&amp;G74</f>
        <v>TEN-38109</v>
      </c>
      <c r="P74" s="17" t="str">
        <f aca="false">PROPER(TRIM(E74))</f>
        <v>Memphis</v>
      </c>
      <c r="Q74" s="17" t="str">
        <f aca="false">IFERROR(VLOOKUP(F74,Lookups!$A$2:$B$50,2,FALSE()),"Not found")</f>
        <v>South</v>
      </c>
      <c r="R74" s="17" t="str">
        <f aca="false">IF(Q74=H74,"Match","Mismatch")</f>
        <v>Match</v>
      </c>
      <c r="S74" s="17" t="str">
        <f aca="false">IFERROR(INDEX(SubCatCat,MATCH(J74,SubCatName,0)),"Not found")</f>
        <v>Furniture</v>
      </c>
      <c r="T74" s="18" t="n">
        <f aca="false">IF(K74=0,0,N74/K74)</f>
        <v>-0.1375</v>
      </c>
      <c r="U74" s="17" t="str">
        <f aca="false">IF(N74&lt;0,"Loss",IF(T74&gt;=0.2,"High margin","Normal"))</f>
        <v>Loss</v>
      </c>
      <c r="V74" s="17" t="str">
        <f aca="false">IF(M74=0,"No discount",IF(M74&lt;=0.2,"Low",IF(M74&lt;=0.4,"Medium","High")))</f>
        <v>Low</v>
      </c>
      <c r="W74" s="17" t="str">
        <f aca="false">IF(OR(B74="Same Day",B74="First Class"),"Fast","Standard")</f>
        <v>Standard</v>
      </c>
      <c r="X74" s="19" t="n">
        <f aca="false">ROUND(K74/L74,2)</f>
        <v>103.99</v>
      </c>
    </row>
    <row r="75" customFormat="false" ht="15" hidden="false" customHeight="false" outlineLevel="0" collapsed="false">
      <c r="A75" s="14" t="n">
        <v>74</v>
      </c>
      <c r="B75" s="14" t="s">
        <v>139</v>
      </c>
      <c r="C75" s="14" t="s">
        <v>7</v>
      </c>
      <c r="D75" s="14" t="s">
        <v>128</v>
      </c>
      <c r="E75" s="14" t="s">
        <v>194</v>
      </c>
      <c r="F75" s="14" t="s">
        <v>195</v>
      </c>
      <c r="G75" s="14" t="n">
        <v>38109</v>
      </c>
      <c r="H75" s="14" t="s">
        <v>131</v>
      </c>
      <c r="I75" s="14" t="s">
        <v>132</v>
      </c>
      <c r="J75" s="14" t="s">
        <v>144</v>
      </c>
      <c r="K75" s="15" t="n">
        <v>97.04</v>
      </c>
      <c r="L75" s="14" t="n">
        <v>2</v>
      </c>
      <c r="M75" s="16" t="n">
        <v>0.2</v>
      </c>
      <c r="N75" s="15" t="n">
        <v>1.213</v>
      </c>
      <c r="O75" s="17" t="str">
        <f aca="false">UPPER(LEFT(F75,3))&amp;"-"&amp;G75</f>
        <v>TEN-38109</v>
      </c>
      <c r="P75" s="17" t="str">
        <f aca="false">PROPER(TRIM(E75))</f>
        <v>Memphis</v>
      </c>
      <c r="Q75" s="17" t="str">
        <f aca="false">IFERROR(VLOOKUP(F75,Lookups!$A$2:$B$50,2,FALSE()),"Not found")</f>
        <v>South</v>
      </c>
      <c r="R75" s="17" t="str">
        <f aca="false">IF(Q75=H75,"Match","Mismatch")</f>
        <v>Match</v>
      </c>
      <c r="S75" s="17" t="str">
        <f aca="false">IFERROR(INDEX(SubCatCat,MATCH(J75,SubCatName,0)),"Not found")</f>
        <v>Furniture</v>
      </c>
      <c r="T75" s="18" t="n">
        <f aca="false">IF(K75=0,0,N75/K75)</f>
        <v>0.0125</v>
      </c>
      <c r="U75" s="17" t="str">
        <f aca="false">IF(N75&lt;0,"Loss",IF(T75&gt;=0.2,"High margin","Normal"))</f>
        <v>Normal</v>
      </c>
      <c r="V75" s="17" t="str">
        <f aca="false">IF(M75=0,"No discount",IF(M75&lt;=0.2,"Low",IF(M75&lt;=0.4,"Medium","High")))</f>
        <v>Low</v>
      </c>
      <c r="W75" s="17" t="str">
        <f aca="false">IF(OR(B75="Same Day",B75="First Class"),"Fast","Standard")</f>
        <v>Standard</v>
      </c>
      <c r="X75" s="19" t="n">
        <f aca="false">ROUND(K75/L75,2)</f>
        <v>48.52</v>
      </c>
    </row>
    <row r="76" customFormat="false" ht="15" hidden="false" customHeight="false" outlineLevel="0" collapsed="false">
      <c r="A76" s="14" t="n">
        <v>75</v>
      </c>
      <c r="B76" s="14" t="s">
        <v>139</v>
      </c>
      <c r="C76" s="14" t="s">
        <v>7</v>
      </c>
      <c r="D76" s="14" t="s">
        <v>128</v>
      </c>
      <c r="E76" s="14" t="s">
        <v>194</v>
      </c>
      <c r="F76" s="14" t="s">
        <v>195</v>
      </c>
      <c r="G76" s="14" t="n">
        <v>38109</v>
      </c>
      <c r="H76" s="14" t="s">
        <v>131</v>
      </c>
      <c r="I76" s="14" t="s">
        <v>137</v>
      </c>
      <c r="J76" s="14" t="s">
        <v>143</v>
      </c>
      <c r="K76" s="15" t="n">
        <v>72.784</v>
      </c>
      <c r="L76" s="14" t="n">
        <v>1</v>
      </c>
      <c r="M76" s="16" t="n">
        <v>0.2</v>
      </c>
      <c r="N76" s="15" t="n">
        <v>-18.196</v>
      </c>
      <c r="O76" s="17" t="str">
        <f aca="false">UPPER(LEFT(F76,3))&amp;"-"&amp;G76</f>
        <v>TEN-38109</v>
      </c>
      <c r="P76" s="17" t="str">
        <f aca="false">PROPER(TRIM(E76))</f>
        <v>Memphis</v>
      </c>
      <c r="Q76" s="17" t="str">
        <f aca="false">IFERROR(VLOOKUP(F76,Lookups!$A$2:$B$50,2,FALSE()),"Not found")</f>
        <v>South</v>
      </c>
      <c r="R76" s="17" t="str">
        <f aca="false">IF(Q76=H76,"Match","Mismatch")</f>
        <v>Match</v>
      </c>
      <c r="S76" s="17" t="str">
        <f aca="false">IFERROR(INDEX(SubCatCat,MATCH(J76,SubCatName,0)),"Not found")</f>
        <v>Office Supplies</v>
      </c>
      <c r="T76" s="18" t="n">
        <f aca="false">IF(K76=0,0,N76/K76)</f>
        <v>-0.25</v>
      </c>
      <c r="U76" s="17" t="str">
        <f aca="false">IF(N76&lt;0,"Loss",IF(T76&gt;=0.2,"High margin","Normal"))</f>
        <v>Loss</v>
      </c>
      <c r="V76" s="17" t="str">
        <f aca="false">IF(M76=0,"No discount",IF(M76&lt;=0.2,"Low",IF(M76&lt;=0.4,"Medium","High")))</f>
        <v>Low</v>
      </c>
      <c r="W76" s="17" t="str">
        <f aca="false">IF(OR(B76="Same Day",B76="First Class"),"Fast","Standard")</f>
        <v>Standard</v>
      </c>
      <c r="X76" s="19" t="n">
        <f aca="false">ROUND(K76/L76,2)</f>
        <v>72.78</v>
      </c>
    </row>
    <row r="77" customFormat="false" ht="15" hidden="false" customHeight="false" outlineLevel="0" collapsed="false">
      <c r="A77" s="14" t="n">
        <v>76</v>
      </c>
      <c r="B77" s="14" t="s">
        <v>171</v>
      </c>
      <c r="C77" s="14" t="s">
        <v>135</v>
      </c>
      <c r="D77" s="14" t="s">
        <v>128</v>
      </c>
      <c r="E77" s="14" t="s">
        <v>170</v>
      </c>
      <c r="F77" s="14" t="s">
        <v>155</v>
      </c>
      <c r="G77" s="14" t="n">
        <v>77041</v>
      </c>
      <c r="H77" s="14" t="s">
        <v>156</v>
      </c>
      <c r="I77" s="14" t="s">
        <v>137</v>
      </c>
      <c r="J77" s="14" t="s">
        <v>146</v>
      </c>
      <c r="K77" s="15" t="n">
        <v>1.248</v>
      </c>
      <c r="L77" s="14" t="n">
        <v>3</v>
      </c>
      <c r="M77" s="16" t="n">
        <v>0.8</v>
      </c>
      <c r="N77" s="15" t="n">
        <v>-1.9344</v>
      </c>
      <c r="O77" s="17" t="str">
        <f aca="false">UPPER(LEFT(F77,3))&amp;"-"&amp;G77</f>
        <v>TEX-77041</v>
      </c>
      <c r="P77" s="17" t="str">
        <f aca="false">PROPER(TRIM(E77))</f>
        <v>Houston</v>
      </c>
      <c r="Q77" s="17" t="str">
        <f aca="false">IFERROR(VLOOKUP(F77,Lookups!$A$2:$B$50,2,FALSE()),"Not found")</f>
        <v>Central</v>
      </c>
      <c r="R77" s="17" t="str">
        <f aca="false">IF(Q77=H77,"Match","Mismatch")</f>
        <v>Match</v>
      </c>
      <c r="S77" s="17" t="str">
        <f aca="false">IFERROR(INDEX(SubCatCat,MATCH(J77,SubCatName,0)),"Not found")</f>
        <v>Office Supplies</v>
      </c>
      <c r="T77" s="18" t="n">
        <f aca="false">IF(K77=0,0,N77/K77)</f>
        <v>-1.55</v>
      </c>
      <c r="U77" s="17" t="str">
        <f aca="false">IF(N77&lt;0,"Loss",IF(T77&gt;=0.2,"High margin","Normal"))</f>
        <v>Loss</v>
      </c>
      <c r="V77" s="17" t="str">
        <f aca="false">IF(M77=0,"No discount",IF(M77&lt;=0.2,"Low",IF(M77&lt;=0.4,"Medium","High")))</f>
        <v>High</v>
      </c>
      <c r="W77" s="17" t="str">
        <f aca="false">IF(OR(B77="Same Day",B77="First Class"),"Fast","Standard")</f>
        <v>Fast</v>
      </c>
      <c r="X77" s="19" t="n">
        <f aca="false">ROUND(K77/L77,2)</f>
        <v>0.42</v>
      </c>
    </row>
    <row r="78" customFormat="false" ht="15" hidden="false" customHeight="false" outlineLevel="0" collapsed="false">
      <c r="A78" s="14" t="n">
        <v>77</v>
      </c>
      <c r="B78" s="14" t="s">
        <v>171</v>
      </c>
      <c r="C78" s="14" t="s">
        <v>135</v>
      </c>
      <c r="D78" s="14" t="s">
        <v>128</v>
      </c>
      <c r="E78" s="14" t="s">
        <v>170</v>
      </c>
      <c r="F78" s="14" t="s">
        <v>155</v>
      </c>
      <c r="G78" s="14" t="n">
        <v>77041</v>
      </c>
      <c r="H78" s="14" t="s">
        <v>156</v>
      </c>
      <c r="I78" s="14" t="s">
        <v>132</v>
      </c>
      <c r="J78" s="14" t="s">
        <v>144</v>
      </c>
      <c r="K78" s="15" t="n">
        <v>9.708</v>
      </c>
      <c r="L78" s="14" t="n">
        <v>3</v>
      </c>
      <c r="M78" s="16" t="n">
        <v>0.6</v>
      </c>
      <c r="N78" s="15" t="n">
        <v>-5.8248</v>
      </c>
      <c r="O78" s="17" t="str">
        <f aca="false">UPPER(LEFT(F78,3))&amp;"-"&amp;G78</f>
        <v>TEX-77041</v>
      </c>
      <c r="P78" s="17" t="str">
        <f aca="false">PROPER(TRIM(E78))</f>
        <v>Houston</v>
      </c>
      <c r="Q78" s="17" t="str">
        <f aca="false">IFERROR(VLOOKUP(F78,Lookups!$A$2:$B$50,2,FALSE()),"Not found")</f>
        <v>Central</v>
      </c>
      <c r="R78" s="17" t="str">
        <f aca="false">IF(Q78=H78,"Match","Mismatch")</f>
        <v>Match</v>
      </c>
      <c r="S78" s="17" t="str">
        <f aca="false">IFERROR(INDEX(SubCatCat,MATCH(J78,SubCatName,0)),"Not found")</f>
        <v>Furniture</v>
      </c>
      <c r="T78" s="18" t="n">
        <f aca="false">IF(K78=0,0,N78/K78)</f>
        <v>-0.6</v>
      </c>
      <c r="U78" s="17" t="str">
        <f aca="false">IF(N78&lt;0,"Loss",IF(T78&gt;=0.2,"High margin","Normal"))</f>
        <v>Loss</v>
      </c>
      <c r="V78" s="17" t="str">
        <f aca="false">IF(M78=0,"No discount",IF(M78&lt;=0.2,"Low",IF(M78&lt;=0.4,"Medium","High")))</f>
        <v>High</v>
      </c>
      <c r="W78" s="17" t="str">
        <f aca="false">IF(OR(B78="Same Day",B78="First Class"),"Fast","Standard")</f>
        <v>Fast</v>
      </c>
      <c r="X78" s="19" t="n">
        <f aca="false">ROUND(K78/L78,2)</f>
        <v>3.24</v>
      </c>
    </row>
    <row r="79" customFormat="false" ht="15" hidden="false" customHeight="false" outlineLevel="0" collapsed="false">
      <c r="A79" s="14" t="n">
        <v>78</v>
      </c>
      <c r="B79" s="14" t="s">
        <v>171</v>
      </c>
      <c r="C79" s="14" t="s">
        <v>135</v>
      </c>
      <c r="D79" s="14" t="s">
        <v>128</v>
      </c>
      <c r="E79" s="14" t="s">
        <v>170</v>
      </c>
      <c r="F79" s="14" t="s">
        <v>155</v>
      </c>
      <c r="G79" s="14" t="n">
        <v>77041</v>
      </c>
      <c r="H79" s="14" t="s">
        <v>156</v>
      </c>
      <c r="I79" s="14" t="s">
        <v>137</v>
      </c>
      <c r="J79" s="14" t="s">
        <v>143</v>
      </c>
      <c r="K79" s="15" t="n">
        <v>27.24</v>
      </c>
      <c r="L79" s="14" t="n">
        <v>3</v>
      </c>
      <c r="M79" s="16" t="n">
        <v>0.2</v>
      </c>
      <c r="N79" s="15" t="n">
        <v>2.724</v>
      </c>
      <c r="O79" s="17" t="str">
        <f aca="false">UPPER(LEFT(F79,3))&amp;"-"&amp;G79</f>
        <v>TEX-77041</v>
      </c>
      <c r="P79" s="17" t="str">
        <f aca="false">PROPER(TRIM(E79))</f>
        <v>Houston</v>
      </c>
      <c r="Q79" s="17" t="str">
        <f aca="false">IFERROR(VLOOKUP(F79,Lookups!$A$2:$B$50,2,FALSE()),"Not found")</f>
        <v>Central</v>
      </c>
      <c r="R79" s="17" t="str">
        <f aca="false">IF(Q79=H79,"Match","Mismatch")</f>
        <v>Match</v>
      </c>
      <c r="S79" s="17" t="str">
        <f aca="false">IFERROR(INDEX(SubCatCat,MATCH(J79,SubCatName,0)),"Not found")</f>
        <v>Office Supplies</v>
      </c>
      <c r="T79" s="18" t="n">
        <f aca="false">IF(K79=0,0,N79/K79)</f>
        <v>0.1</v>
      </c>
      <c r="U79" s="17" t="str">
        <f aca="false">IF(N79&lt;0,"Loss",IF(T79&gt;=0.2,"High margin","Normal"))</f>
        <v>Normal</v>
      </c>
      <c r="V79" s="17" t="str">
        <f aca="false">IF(M79=0,"No discount",IF(M79&lt;=0.2,"Low",IF(M79&lt;=0.4,"Medium","High")))</f>
        <v>Low</v>
      </c>
      <c r="W79" s="17" t="str">
        <f aca="false">IF(OR(B79="Same Day",B79="First Class"),"Fast","Standard")</f>
        <v>Fast</v>
      </c>
      <c r="X79" s="19" t="n">
        <f aca="false">ROUND(K79/L79,2)</f>
        <v>9.08</v>
      </c>
    </row>
    <row r="80" customFormat="false" ht="15" hidden="false" customHeight="false" outlineLevel="0" collapsed="false">
      <c r="A80" s="14" t="n">
        <v>79</v>
      </c>
      <c r="B80" s="14" t="s">
        <v>127</v>
      </c>
      <c r="C80" s="14" t="s">
        <v>7</v>
      </c>
      <c r="D80" s="14" t="s">
        <v>128</v>
      </c>
      <c r="E80" s="14" t="s">
        <v>170</v>
      </c>
      <c r="F80" s="14" t="s">
        <v>155</v>
      </c>
      <c r="G80" s="14" t="n">
        <v>77070</v>
      </c>
      <c r="H80" s="14" t="s">
        <v>156</v>
      </c>
      <c r="I80" s="14" t="s">
        <v>132</v>
      </c>
      <c r="J80" s="14" t="s">
        <v>144</v>
      </c>
      <c r="K80" s="15" t="n">
        <v>19.3</v>
      </c>
      <c r="L80" s="14" t="n">
        <v>5</v>
      </c>
      <c r="M80" s="16" t="n">
        <v>0.6</v>
      </c>
      <c r="N80" s="15" t="n">
        <v>-14.475</v>
      </c>
      <c r="O80" s="17" t="str">
        <f aca="false">UPPER(LEFT(F80,3))&amp;"-"&amp;G80</f>
        <v>TEX-77070</v>
      </c>
      <c r="P80" s="17" t="str">
        <f aca="false">PROPER(TRIM(E80))</f>
        <v>Houston</v>
      </c>
      <c r="Q80" s="17" t="str">
        <f aca="false">IFERROR(VLOOKUP(F80,Lookups!$A$2:$B$50,2,FALSE()),"Not found")</f>
        <v>Central</v>
      </c>
      <c r="R80" s="17" t="str">
        <f aca="false">IF(Q80=H80,"Match","Mismatch")</f>
        <v>Match</v>
      </c>
      <c r="S80" s="17" t="str">
        <f aca="false">IFERROR(INDEX(SubCatCat,MATCH(J80,SubCatName,0)),"Not found")</f>
        <v>Furniture</v>
      </c>
      <c r="T80" s="18" t="n">
        <f aca="false">IF(K80=0,0,N80/K80)</f>
        <v>-0.75</v>
      </c>
      <c r="U80" s="17" t="str">
        <f aca="false">IF(N80&lt;0,"Loss",IF(T80&gt;=0.2,"High margin","Normal"))</f>
        <v>Loss</v>
      </c>
      <c r="V80" s="17" t="str">
        <f aca="false">IF(M80=0,"No discount",IF(M80&lt;=0.2,"Low",IF(M80&lt;=0.4,"Medium","High")))</f>
        <v>High</v>
      </c>
      <c r="W80" s="17" t="str">
        <f aca="false">IF(OR(B80="Same Day",B80="First Class"),"Fast","Standard")</f>
        <v>Standard</v>
      </c>
      <c r="X80" s="19" t="n">
        <f aca="false">ROUND(K80/L80,2)</f>
        <v>3.86</v>
      </c>
    </row>
    <row r="81" customFormat="false" ht="15" hidden="false" customHeight="false" outlineLevel="0" collapsed="false">
      <c r="A81" s="14" t="n">
        <v>80</v>
      </c>
      <c r="B81" s="14" t="s">
        <v>171</v>
      </c>
      <c r="C81" s="14" t="s">
        <v>135</v>
      </c>
      <c r="D81" s="14" t="s">
        <v>128</v>
      </c>
      <c r="E81" s="14" t="s">
        <v>196</v>
      </c>
      <c r="F81" s="14" t="s">
        <v>197</v>
      </c>
      <c r="G81" s="14" t="n">
        <v>35601</v>
      </c>
      <c r="H81" s="14" t="s">
        <v>131</v>
      </c>
      <c r="I81" s="14" t="s">
        <v>137</v>
      </c>
      <c r="J81" s="14" t="s">
        <v>147</v>
      </c>
      <c r="K81" s="15" t="n">
        <v>208.16</v>
      </c>
      <c r="L81" s="14" t="n">
        <v>1</v>
      </c>
      <c r="M81" s="16" t="n">
        <v>0</v>
      </c>
      <c r="N81" s="15" t="n">
        <v>56.2032</v>
      </c>
      <c r="O81" s="17" t="str">
        <f aca="false">UPPER(LEFT(F81,3))&amp;"-"&amp;G81</f>
        <v>ALA-35601</v>
      </c>
      <c r="P81" s="17" t="str">
        <f aca="false">PROPER(TRIM(E81))</f>
        <v>Decatur</v>
      </c>
      <c r="Q81" s="17" t="str">
        <f aca="false">IFERROR(VLOOKUP(F81,Lookups!$A$2:$B$50,2,FALSE()),"Not found")</f>
        <v>South</v>
      </c>
      <c r="R81" s="17" t="str">
        <f aca="false">IF(Q81=H81,"Match","Mismatch")</f>
        <v>Match</v>
      </c>
      <c r="S81" s="17" t="str">
        <f aca="false">IFERROR(INDEX(SubCatCat,MATCH(J81,SubCatName,0)),"Not found")</f>
        <v>Office Supplies</v>
      </c>
      <c r="T81" s="18" t="n">
        <f aca="false">IF(K81=0,0,N81/K81)</f>
        <v>0.27</v>
      </c>
      <c r="U81" s="17" t="str">
        <f aca="false">IF(N81&lt;0,"Loss",IF(T81&gt;=0.2,"High margin","Normal"))</f>
        <v>High margin</v>
      </c>
      <c r="V81" s="17" t="str">
        <f aca="false">IF(M81=0,"No discount",IF(M81&lt;=0.2,"Low",IF(M81&lt;=0.4,"Medium","High")))</f>
        <v>No discount</v>
      </c>
      <c r="W81" s="17" t="str">
        <f aca="false">IF(OR(B81="Same Day",B81="First Class"),"Fast","Standard")</f>
        <v>Fast</v>
      </c>
      <c r="X81" s="19" t="n">
        <f aca="false">ROUND(K81/L81,2)</f>
        <v>208.16</v>
      </c>
    </row>
    <row r="82" customFormat="false" ht="15" hidden="false" customHeight="false" outlineLevel="0" collapsed="false">
      <c r="A82" s="14" t="n">
        <v>81</v>
      </c>
      <c r="B82" s="14" t="s">
        <v>171</v>
      </c>
      <c r="C82" s="14" t="s">
        <v>135</v>
      </c>
      <c r="D82" s="14" t="s">
        <v>128</v>
      </c>
      <c r="E82" s="14" t="s">
        <v>196</v>
      </c>
      <c r="F82" s="14" t="s">
        <v>197</v>
      </c>
      <c r="G82" s="14" t="n">
        <v>35601</v>
      </c>
      <c r="H82" s="14" t="s">
        <v>131</v>
      </c>
      <c r="I82" s="14" t="s">
        <v>137</v>
      </c>
      <c r="J82" s="14" t="s">
        <v>146</v>
      </c>
      <c r="K82" s="15" t="n">
        <v>16.74</v>
      </c>
      <c r="L82" s="14" t="n">
        <v>3</v>
      </c>
      <c r="M82" s="16" t="n">
        <v>0</v>
      </c>
      <c r="N82" s="15" t="n">
        <v>8.0352</v>
      </c>
      <c r="O82" s="17" t="str">
        <f aca="false">UPPER(LEFT(F82,3))&amp;"-"&amp;G82</f>
        <v>ALA-35601</v>
      </c>
      <c r="P82" s="17" t="str">
        <f aca="false">PROPER(TRIM(E82))</f>
        <v>Decatur</v>
      </c>
      <c r="Q82" s="17" t="str">
        <f aca="false">IFERROR(VLOOKUP(F82,Lookups!$A$2:$B$50,2,FALSE()),"Not found")</f>
        <v>South</v>
      </c>
      <c r="R82" s="17" t="str">
        <f aca="false">IF(Q82=H82,"Match","Mismatch")</f>
        <v>Match</v>
      </c>
      <c r="S82" s="17" t="str">
        <f aca="false">IFERROR(INDEX(SubCatCat,MATCH(J82,SubCatName,0)),"Not found")</f>
        <v>Office Supplies</v>
      </c>
      <c r="T82" s="18" t="n">
        <f aca="false">IF(K82=0,0,N82/K82)</f>
        <v>0.48</v>
      </c>
      <c r="U82" s="17" t="str">
        <f aca="false">IF(N82&lt;0,"Loss",IF(T82&gt;=0.2,"High margin","Normal"))</f>
        <v>High margin</v>
      </c>
      <c r="V82" s="17" t="str">
        <f aca="false">IF(M82=0,"No discount",IF(M82&lt;=0.2,"Low",IF(M82&lt;=0.4,"Medium","High")))</f>
        <v>No discount</v>
      </c>
      <c r="W82" s="17" t="str">
        <f aca="false">IF(OR(B82="Same Day",B82="First Class"),"Fast","Standard")</f>
        <v>Fast</v>
      </c>
      <c r="X82" s="19" t="n">
        <f aca="false">ROUND(K82/L82,2)</f>
        <v>5.58</v>
      </c>
    </row>
    <row r="83" customFormat="false" ht="15" hidden="false" customHeight="false" outlineLevel="0" collapsed="false">
      <c r="A83" s="14" t="n">
        <v>82</v>
      </c>
      <c r="B83" s="14" t="s">
        <v>139</v>
      </c>
      <c r="C83" s="14" t="s">
        <v>7</v>
      </c>
      <c r="D83" s="14" t="s">
        <v>128</v>
      </c>
      <c r="E83" s="14" t="s">
        <v>161</v>
      </c>
      <c r="F83" s="14" t="s">
        <v>9</v>
      </c>
      <c r="G83" s="14" t="n">
        <v>94122</v>
      </c>
      <c r="H83" s="14" t="s">
        <v>3</v>
      </c>
      <c r="I83" s="14" t="s">
        <v>137</v>
      </c>
      <c r="J83" s="14" t="s">
        <v>145</v>
      </c>
      <c r="K83" s="15" t="n">
        <v>14.9</v>
      </c>
      <c r="L83" s="14" t="n">
        <v>5</v>
      </c>
      <c r="M83" s="16" t="n">
        <v>0</v>
      </c>
      <c r="N83" s="15" t="n">
        <v>4.172</v>
      </c>
      <c r="O83" s="17" t="str">
        <f aca="false">UPPER(LEFT(F83,3))&amp;"-"&amp;G83</f>
        <v>CAL-94122</v>
      </c>
      <c r="P83" s="17" t="str">
        <f aca="false">PROPER(TRIM(E83))</f>
        <v>San Francisco</v>
      </c>
      <c r="Q83" s="17" t="str">
        <f aca="false">IFERROR(VLOOKUP(F83,Lookups!$A$2:$B$50,2,FALSE()),"Not found")</f>
        <v>West</v>
      </c>
      <c r="R83" s="17" t="str">
        <f aca="false">IF(Q83=H83,"Match","Mismatch")</f>
        <v>Match</v>
      </c>
      <c r="S83" s="17" t="str">
        <f aca="false">IFERROR(INDEX(SubCatCat,MATCH(J83,SubCatName,0)),"Not found")</f>
        <v>Office Supplies</v>
      </c>
      <c r="T83" s="18" t="n">
        <f aca="false">IF(K83=0,0,N83/K83)</f>
        <v>0.28</v>
      </c>
      <c r="U83" s="17" t="str">
        <f aca="false">IF(N83&lt;0,"Loss",IF(T83&gt;=0.2,"High margin","Normal"))</f>
        <v>High margin</v>
      </c>
      <c r="V83" s="17" t="str">
        <f aca="false">IF(M83=0,"No discount",IF(M83&lt;=0.2,"Low",IF(M83&lt;=0.4,"Medium","High")))</f>
        <v>No discount</v>
      </c>
      <c r="W83" s="17" t="str">
        <f aca="false">IF(OR(B83="Same Day",B83="First Class"),"Fast","Standard")</f>
        <v>Standard</v>
      </c>
      <c r="X83" s="19" t="n">
        <f aca="false">ROUND(K83/L83,2)</f>
        <v>2.98</v>
      </c>
    </row>
    <row r="84" customFormat="false" ht="15" hidden="false" customHeight="false" outlineLevel="0" collapsed="false">
      <c r="A84" s="14" t="n">
        <v>83</v>
      </c>
      <c r="B84" s="14" t="s">
        <v>139</v>
      </c>
      <c r="C84" s="14" t="s">
        <v>7</v>
      </c>
      <c r="D84" s="14" t="s">
        <v>128</v>
      </c>
      <c r="E84" s="14" t="s">
        <v>161</v>
      </c>
      <c r="F84" s="14" t="s">
        <v>9</v>
      </c>
      <c r="G84" s="14" t="n">
        <v>94122</v>
      </c>
      <c r="H84" s="14" t="s">
        <v>3</v>
      </c>
      <c r="I84" s="14" t="s">
        <v>137</v>
      </c>
      <c r="J84" s="14" t="s">
        <v>143</v>
      </c>
      <c r="K84" s="15" t="n">
        <v>21.39</v>
      </c>
      <c r="L84" s="14" t="n">
        <v>1</v>
      </c>
      <c r="M84" s="16" t="n">
        <v>0</v>
      </c>
      <c r="N84" s="15" t="n">
        <v>6.2031</v>
      </c>
      <c r="O84" s="17" t="str">
        <f aca="false">UPPER(LEFT(F84,3))&amp;"-"&amp;G84</f>
        <v>CAL-94122</v>
      </c>
      <c r="P84" s="17" t="str">
        <f aca="false">PROPER(TRIM(E84))</f>
        <v>San Francisco</v>
      </c>
      <c r="Q84" s="17" t="str">
        <f aca="false">IFERROR(VLOOKUP(F84,Lookups!$A$2:$B$50,2,FALSE()),"Not found")</f>
        <v>West</v>
      </c>
      <c r="R84" s="17" t="str">
        <f aca="false">IF(Q84=H84,"Match","Mismatch")</f>
        <v>Match</v>
      </c>
      <c r="S84" s="17" t="str">
        <f aca="false">IFERROR(INDEX(SubCatCat,MATCH(J84,SubCatName,0)),"Not found")</f>
        <v>Office Supplies</v>
      </c>
      <c r="T84" s="18" t="n">
        <f aca="false">IF(K84=0,0,N84/K84)</f>
        <v>0.29</v>
      </c>
      <c r="U84" s="17" t="str">
        <f aca="false">IF(N84&lt;0,"Loss",IF(T84&gt;=0.2,"High margin","Normal"))</f>
        <v>High margin</v>
      </c>
      <c r="V84" s="17" t="str">
        <f aca="false">IF(M84=0,"No discount",IF(M84&lt;=0.2,"Low",IF(M84&lt;=0.4,"Medium","High")))</f>
        <v>No discount</v>
      </c>
      <c r="W84" s="17" t="str">
        <f aca="false">IF(OR(B84="Same Day",B84="First Class"),"Fast","Standard")</f>
        <v>Standard</v>
      </c>
      <c r="X84" s="19" t="n">
        <f aca="false">ROUND(K84/L84,2)</f>
        <v>21.39</v>
      </c>
    </row>
    <row r="85" customFormat="false" ht="15" hidden="false" customHeight="false" outlineLevel="0" collapsed="false">
      <c r="A85" s="14" t="n">
        <v>84</v>
      </c>
      <c r="B85" s="14" t="s">
        <v>139</v>
      </c>
      <c r="C85" s="14" t="s">
        <v>135</v>
      </c>
      <c r="D85" s="14" t="s">
        <v>128</v>
      </c>
      <c r="E85" s="14" t="s">
        <v>198</v>
      </c>
      <c r="F85" s="14" t="s">
        <v>149</v>
      </c>
      <c r="G85" s="14" t="n">
        <v>27707</v>
      </c>
      <c r="H85" s="14" t="s">
        <v>131</v>
      </c>
      <c r="I85" s="14" t="s">
        <v>137</v>
      </c>
      <c r="J85" s="14" t="s">
        <v>169</v>
      </c>
      <c r="K85" s="15" t="n">
        <v>200.984</v>
      </c>
      <c r="L85" s="14" t="n">
        <v>7</v>
      </c>
      <c r="M85" s="16" t="n">
        <v>0.2</v>
      </c>
      <c r="N85" s="15" t="n">
        <v>62.8075</v>
      </c>
      <c r="O85" s="17" t="str">
        <f aca="false">UPPER(LEFT(F85,3))&amp;"-"&amp;G85</f>
        <v>NOR-27707</v>
      </c>
      <c r="P85" s="17" t="str">
        <f aca="false">PROPER(TRIM(E85))</f>
        <v>Durham</v>
      </c>
      <c r="Q85" s="17" t="str">
        <f aca="false">IFERROR(VLOOKUP(F85,Lookups!$A$2:$B$50,2,FALSE()),"Not found")</f>
        <v>South</v>
      </c>
      <c r="R85" s="17" t="str">
        <f aca="false">IF(Q85=H85,"Match","Mismatch")</f>
        <v>Match</v>
      </c>
      <c r="S85" s="17" t="str">
        <f aca="false">IFERROR(INDEX(SubCatCat,MATCH(J85,SubCatName,0)),"Not found")</f>
        <v>Office Supplies</v>
      </c>
      <c r="T85" s="18" t="n">
        <f aca="false">IF(K85=0,0,N85/K85)</f>
        <v>0.3125</v>
      </c>
      <c r="U85" s="17" t="str">
        <f aca="false">IF(N85&lt;0,"Loss",IF(T85&gt;=0.2,"High margin","Normal"))</f>
        <v>High margin</v>
      </c>
      <c r="V85" s="17" t="str">
        <f aca="false">IF(M85=0,"No discount",IF(M85&lt;=0.2,"Low",IF(M85&lt;=0.4,"Medium","High")))</f>
        <v>Low</v>
      </c>
      <c r="W85" s="17" t="str">
        <f aca="false">IF(OR(B85="Same Day",B85="First Class"),"Fast","Standard")</f>
        <v>Standard</v>
      </c>
      <c r="X85" s="19" t="n">
        <f aca="false">ROUND(K85/L85,2)</f>
        <v>28.71</v>
      </c>
    </row>
    <row r="86" customFormat="false" ht="15" hidden="false" customHeight="false" outlineLevel="0" collapsed="false">
      <c r="A86" s="14" t="n">
        <v>85</v>
      </c>
      <c r="B86" s="14" t="s">
        <v>171</v>
      </c>
      <c r="C86" s="14" t="s">
        <v>153</v>
      </c>
      <c r="D86" s="14" t="s">
        <v>128</v>
      </c>
      <c r="E86" s="14" t="s">
        <v>188</v>
      </c>
      <c r="F86" s="14" t="s">
        <v>174</v>
      </c>
      <c r="G86" s="14" t="n">
        <v>60623</v>
      </c>
      <c r="H86" s="14" t="s">
        <v>156</v>
      </c>
      <c r="I86" s="14" t="s">
        <v>137</v>
      </c>
      <c r="J86" s="14" t="s">
        <v>143</v>
      </c>
      <c r="K86" s="15" t="n">
        <v>230.376</v>
      </c>
      <c r="L86" s="14" t="n">
        <v>3</v>
      </c>
      <c r="M86" s="16" t="n">
        <v>0.2</v>
      </c>
      <c r="N86" s="15" t="n">
        <v>-48.9549</v>
      </c>
      <c r="O86" s="17" t="str">
        <f aca="false">UPPER(LEFT(F86,3))&amp;"-"&amp;G86</f>
        <v>ILL-60623</v>
      </c>
      <c r="P86" s="17" t="str">
        <f aca="false">PROPER(TRIM(E86))</f>
        <v>Chicago</v>
      </c>
      <c r="Q86" s="17" t="str">
        <f aca="false">IFERROR(VLOOKUP(F86,Lookups!$A$2:$B$50,2,FALSE()),"Not found")</f>
        <v>Central</v>
      </c>
      <c r="R86" s="17" t="str">
        <f aca="false">IF(Q86=H86,"Match","Mismatch")</f>
        <v>Match</v>
      </c>
      <c r="S86" s="17" t="str">
        <f aca="false">IFERROR(INDEX(SubCatCat,MATCH(J86,SubCatName,0)),"Not found")</f>
        <v>Office Supplies</v>
      </c>
      <c r="T86" s="18" t="n">
        <f aca="false">IF(K86=0,0,N86/K86)</f>
        <v>-0.2125</v>
      </c>
      <c r="U86" s="17" t="str">
        <f aca="false">IF(N86&lt;0,"Loss",IF(T86&gt;=0.2,"High margin","Normal"))</f>
        <v>Loss</v>
      </c>
      <c r="V86" s="17" t="str">
        <f aca="false">IF(M86=0,"No discount",IF(M86&lt;=0.2,"Low",IF(M86&lt;=0.4,"Medium","High")))</f>
        <v>Low</v>
      </c>
      <c r="W86" s="17" t="str">
        <f aca="false">IF(OR(B86="Same Day",B86="First Class"),"Fast","Standard")</f>
        <v>Fast</v>
      </c>
      <c r="X86" s="19" t="n">
        <f aca="false">ROUND(K86/L86,2)</f>
        <v>76.79</v>
      </c>
    </row>
    <row r="87" customFormat="false" ht="15" hidden="false" customHeight="false" outlineLevel="0" collapsed="false">
      <c r="A87" s="14" t="n">
        <v>86</v>
      </c>
      <c r="B87" s="14" t="s">
        <v>127</v>
      </c>
      <c r="C87" s="14" t="s">
        <v>7</v>
      </c>
      <c r="D87" s="14" t="s">
        <v>128</v>
      </c>
      <c r="E87" s="14" t="s">
        <v>199</v>
      </c>
      <c r="F87" s="14" t="s">
        <v>200</v>
      </c>
      <c r="G87" s="14" t="n">
        <v>29203</v>
      </c>
      <c r="H87" s="14" t="s">
        <v>131</v>
      </c>
      <c r="I87" s="14" t="s">
        <v>132</v>
      </c>
      <c r="J87" s="14" t="s">
        <v>134</v>
      </c>
      <c r="K87" s="15" t="n">
        <v>301.96</v>
      </c>
      <c r="L87" s="14" t="n">
        <v>2</v>
      </c>
      <c r="M87" s="16" t="n">
        <v>0</v>
      </c>
      <c r="N87" s="15" t="n">
        <v>33.2156</v>
      </c>
      <c r="O87" s="17" t="str">
        <f aca="false">UPPER(LEFT(F87,3))&amp;"-"&amp;G87</f>
        <v>SOU-29203</v>
      </c>
      <c r="P87" s="17" t="str">
        <f aca="false">PROPER(TRIM(E87))</f>
        <v>Columbia</v>
      </c>
      <c r="Q87" s="17" t="str">
        <f aca="false">IFERROR(VLOOKUP(F87,Lookups!$A$2:$B$50,2,FALSE()),"Not found")</f>
        <v>South</v>
      </c>
      <c r="R87" s="17" t="str">
        <f aca="false">IF(Q87=H87,"Match","Mismatch")</f>
        <v>Match</v>
      </c>
      <c r="S87" s="17" t="str">
        <f aca="false">IFERROR(INDEX(SubCatCat,MATCH(J87,SubCatName,0)),"Not found")</f>
        <v>Furniture</v>
      </c>
      <c r="T87" s="18" t="n">
        <f aca="false">IF(K87=0,0,N87/K87)</f>
        <v>0.11</v>
      </c>
      <c r="U87" s="17" t="str">
        <f aca="false">IF(N87&lt;0,"Loss",IF(T87&gt;=0.2,"High margin","Normal"))</f>
        <v>Normal</v>
      </c>
      <c r="V87" s="17" t="str">
        <f aca="false">IF(M87=0,"No discount",IF(M87&lt;=0.2,"Low",IF(M87&lt;=0.4,"Medium","High")))</f>
        <v>No discount</v>
      </c>
      <c r="W87" s="17" t="str">
        <f aca="false">IF(OR(B87="Same Day",B87="First Class"),"Fast","Standard")</f>
        <v>Standard</v>
      </c>
      <c r="X87" s="19" t="n">
        <f aca="false">ROUND(K87/L87,2)</f>
        <v>150.98</v>
      </c>
    </row>
    <row r="88" customFormat="false" ht="15" hidden="false" customHeight="false" outlineLevel="0" collapsed="false">
      <c r="A88" s="14" t="n">
        <v>87</v>
      </c>
      <c r="B88" s="14" t="s">
        <v>139</v>
      </c>
      <c r="C88" s="14" t="s">
        <v>7</v>
      </c>
      <c r="D88" s="14" t="s">
        <v>128</v>
      </c>
      <c r="E88" s="14" t="s">
        <v>201</v>
      </c>
      <c r="F88" s="14" t="s">
        <v>177</v>
      </c>
      <c r="G88" s="14" t="n">
        <v>55901</v>
      </c>
      <c r="H88" s="14" t="s">
        <v>156</v>
      </c>
      <c r="I88" s="14" t="s">
        <v>5</v>
      </c>
      <c r="J88" s="14" t="s">
        <v>168</v>
      </c>
      <c r="K88" s="15" t="n">
        <v>19.99</v>
      </c>
      <c r="L88" s="14" t="n">
        <v>1</v>
      </c>
      <c r="M88" s="16" t="n">
        <v>0</v>
      </c>
      <c r="N88" s="15" t="n">
        <v>6.7966</v>
      </c>
      <c r="O88" s="17" t="str">
        <f aca="false">UPPER(LEFT(F88,3))&amp;"-"&amp;G88</f>
        <v>MIN-55901</v>
      </c>
      <c r="P88" s="17" t="str">
        <f aca="false">PROPER(TRIM(E88))</f>
        <v>Rochester</v>
      </c>
      <c r="Q88" s="17" t="str">
        <f aca="false">IFERROR(VLOOKUP(F88,Lookups!$A$2:$B$50,2,FALSE()),"Not found")</f>
        <v>Central</v>
      </c>
      <c r="R88" s="17" t="str">
        <f aca="false">IF(Q88=H88,"Match","Mismatch")</f>
        <v>Match</v>
      </c>
      <c r="S88" s="17" t="str">
        <f aca="false">IFERROR(INDEX(SubCatCat,MATCH(J88,SubCatName,0)),"Not found")</f>
        <v>Technology</v>
      </c>
      <c r="T88" s="18" t="n">
        <f aca="false">IF(K88=0,0,N88/K88)</f>
        <v>0.34</v>
      </c>
      <c r="U88" s="17" t="str">
        <f aca="false">IF(N88&lt;0,"Loss",IF(T88&gt;=0.2,"High margin","Normal"))</f>
        <v>High margin</v>
      </c>
      <c r="V88" s="17" t="str">
        <f aca="false">IF(M88=0,"No discount",IF(M88&lt;=0.2,"Low",IF(M88&lt;=0.4,"Medium","High")))</f>
        <v>No discount</v>
      </c>
      <c r="W88" s="17" t="str">
        <f aca="false">IF(OR(B88="Same Day",B88="First Class"),"Fast","Standard")</f>
        <v>Standard</v>
      </c>
      <c r="X88" s="19" t="n">
        <f aca="false">ROUND(K88/L88,2)</f>
        <v>19.99</v>
      </c>
    </row>
    <row r="89" customFormat="false" ht="15" hidden="false" customHeight="false" outlineLevel="0" collapsed="false">
      <c r="A89" s="14" t="n">
        <v>88</v>
      </c>
      <c r="B89" s="14" t="s">
        <v>139</v>
      </c>
      <c r="C89" s="14" t="s">
        <v>7</v>
      </c>
      <c r="D89" s="14" t="s">
        <v>128</v>
      </c>
      <c r="E89" s="14" t="s">
        <v>201</v>
      </c>
      <c r="F89" s="14" t="s">
        <v>177</v>
      </c>
      <c r="G89" s="14" t="n">
        <v>55901</v>
      </c>
      <c r="H89" s="14" t="s">
        <v>156</v>
      </c>
      <c r="I89" s="14" t="s">
        <v>137</v>
      </c>
      <c r="J89" s="14" t="s">
        <v>138</v>
      </c>
      <c r="K89" s="15" t="n">
        <v>6.16</v>
      </c>
      <c r="L89" s="14" t="n">
        <v>2</v>
      </c>
      <c r="M89" s="16" t="n">
        <v>0</v>
      </c>
      <c r="N89" s="15" t="n">
        <v>2.9568</v>
      </c>
      <c r="O89" s="17" t="str">
        <f aca="false">UPPER(LEFT(F89,3))&amp;"-"&amp;G89</f>
        <v>MIN-55901</v>
      </c>
      <c r="P89" s="17" t="str">
        <f aca="false">PROPER(TRIM(E89))</f>
        <v>Rochester</v>
      </c>
      <c r="Q89" s="17" t="str">
        <f aca="false">IFERROR(VLOOKUP(F89,Lookups!$A$2:$B$50,2,FALSE()),"Not found")</f>
        <v>Central</v>
      </c>
      <c r="R89" s="17" t="str">
        <f aca="false">IF(Q89=H89,"Match","Mismatch")</f>
        <v>Match</v>
      </c>
      <c r="S89" s="17" t="str">
        <f aca="false">IFERROR(INDEX(SubCatCat,MATCH(J89,SubCatName,0)),"Not found")</f>
        <v>Office Supplies</v>
      </c>
      <c r="T89" s="18" t="n">
        <f aca="false">IF(K89=0,0,N89/K89)</f>
        <v>0.48</v>
      </c>
      <c r="U89" s="17" t="str">
        <f aca="false">IF(N89&lt;0,"Loss",IF(T89&gt;=0.2,"High margin","Normal"))</f>
        <v>High margin</v>
      </c>
      <c r="V89" s="17" t="str">
        <f aca="false">IF(M89=0,"No discount",IF(M89&lt;=0.2,"Low",IF(M89&lt;=0.4,"Medium","High")))</f>
        <v>No discount</v>
      </c>
      <c r="W89" s="17" t="str">
        <f aca="false">IF(OR(B89="Same Day",B89="First Class"),"Fast","Standard")</f>
        <v>Standard</v>
      </c>
      <c r="X89" s="19" t="n">
        <f aca="false">ROUND(K89/L89,2)</f>
        <v>3.08</v>
      </c>
    </row>
    <row r="90" customFormat="false" ht="15" hidden="false" customHeight="false" outlineLevel="0" collapsed="false">
      <c r="A90" s="14" t="n">
        <v>89</v>
      </c>
      <c r="B90" s="14" t="s">
        <v>127</v>
      </c>
      <c r="C90" s="14" t="s">
        <v>153</v>
      </c>
      <c r="D90" s="14" t="s">
        <v>128</v>
      </c>
      <c r="E90" s="14" t="s">
        <v>170</v>
      </c>
      <c r="F90" s="14" t="s">
        <v>155</v>
      </c>
      <c r="G90" s="14" t="n">
        <v>77095</v>
      </c>
      <c r="H90" s="14" t="s">
        <v>156</v>
      </c>
      <c r="I90" s="14" t="s">
        <v>137</v>
      </c>
      <c r="J90" s="14" t="s">
        <v>143</v>
      </c>
      <c r="K90" s="15" t="n">
        <v>158.368</v>
      </c>
      <c r="L90" s="14" t="n">
        <v>7</v>
      </c>
      <c r="M90" s="16" t="n">
        <v>0.2</v>
      </c>
      <c r="N90" s="15" t="n">
        <v>13.8572</v>
      </c>
      <c r="O90" s="17" t="str">
        <f aca="false">UPPER(LEFT(F90,3))&amp;"-"&amp;G90</f>
        <v>TEX-77095</v>
      </c>
      <c r="P90" s="17" t="str">
        <f aca="false">PROPER(TRIM(E90))</f>
        <v>Houston</v>
      </c>
      <c r="Q90" s="17" t="str">
        <f aca="false">IFERROR(VLOOKUP(F90,Lookups!$A$2:$B$50,2,FALSE()),"Not found")</f>
        <v>Central</v>
      </c>
      <c r="R90" s="17" t="str">
        <f aca="false">IF(Q90=H90,"Match","Mismatch")</f>
        <v>Match</v>
      </c>
      <c r="S90" s="17" t="str">
        <f aca="false">IFERROR(INDEX(SubCatCat,MATCH(J90,SubCatName,0)),"Not found")</f>
        <v>Office Supplies</v>
      </c>
      <c r="T90" s="18" t="n">
        <f aca="false">IF(K90=0,0,N90/K90)</f>
        <v>0.0875</v>
      </c>
      <c r="U90" s="17" t="str">
        <f aca="false">IF(N90&lt;0,"Loss",IF(T90&gt;=0.2,"High margin","Normal"))</f>
        <v>Normal</v>
      </c>
      <c r="V90" s="17" t="str">
        <f aca="false">IF(M90=0,"No discount",IF(M90&lt;=0.2,"Low",IF(M90&lt;=0.4,"Medium","High")))</f>
        <v>Low</v>
      </c>
      <c r="W90" s="17" t="str">
        <f aca="false">IF(OR(B90="Same Day",B90="First Class"),"Fast","Standard")</f>
        <v>Standard</v>
      </c>
      <c r="X90" s="19" t="n">
        <f aca="false">ROUND(K90/L90,2)</f>
        <v>22.62</v>
      </c>
    </row>
    <row r="91" customFormat="false" ht="15" hidden="false" customHeight="false" outlineLevel="0" collapsed="false">
      <c r="A91" s="14" t="n">
        <v>90</v>
      </c>
      <c r="B91" s="14" t="s">
        <v>139</v>
      </c>
      <c r="C91" s="14" t="s">
        <v>135</v>
      </c>
      <c r="D91" s="14" t="s">
        <v>128</v>
      </c>
      <c r="E91" s="14" t="s">
        <v>136</v>
      </c>
      <c r="F91" s="14" t="s">
        <v>9</v>
      </c>
      <c r="G91" s="14" t="n">
        <v>90036</v>
      </c>
      <c r="H91" s="14" t="s">
        <v>3</v>
      </c>
      <c r="I91" s="14" t="s">
        <v>137</v>
      </c>
      <c r="J91" s="14" t="s">
        <v>145</v>
      </c>
      <c r="K91" s="15" t="n">
        <v>20.1</v>
      </c>
      <c r="L91" s="14" t="n">
        <v>3</v>
      </c>
      <c r="M91" s="16" t="n">
        <v>0</v>
      </c>
      <c r="N91" s="15" t="n">
        <v>6.633</v>
      </c>
      <c r="O91" s="17" t="str">
        <f aca="false">UPPER(LEFT(F91,3))&amp;"-"&amp;G91</f>
        <v>CAL-90036</v>
      </c>
      <c r="P91" s="17" t="str">
        <f aca="false">PROPER(TRIM(E91))</f>
        <v>Los Angeles</v>
      </c>
      <c r="Q91" s="17" t="str">
        <f aca="false">IFERROR(VLOOKUP(F91,Lookups!$A$2:$B$50,2,FALSE()),"Not found")</f>
        <v>West</v>
      </c>
      <c r="R91" s="17" t="str">
        <f aca="false">IF(Q91=H91,"Match","Mismatch")</f>
        <v>Match</v>
      </c>
      <c r="S91" s="17" t="str">
        <f aca="false">IFERROR(INDEX(SubCatCat,MATCH(J91,SubCatName,0)),"Not found")</f>
        <v>Office Supplies</v>
      </c>
      <c r="T91" s="18" t="n">
        <f aca="false">IF(K91=0,0,N91/K91)</f>
        <v>0.33</v>
      </c>
      <c r="U91" s="17" t="str">
        <f aca="false">IF(N91&lt;0,"Loss",IF(T91&gt;=0.2,"High margin","Normal"))</f>
        <v>High margin</v>
      </c>
      <c r="V91" s="17" t="str">
        <f aca="false">IF(M91=0,"No discount",IF(M91&lt;=0.2,"Low",IF(M91&lt;=0.4,"Medium","High")))</f>
        <v>No discount</v>
      </c>
      <c r="W91" s="17" t="str">
        <f aca="false">IF(OR(B91="Same Day",B91="First Class"),"Fast","Standard")</f>
        <v>Standard</v>
      </c>
      <c r="X91" s="19" t="n">
        <f aca="false">ROUND(K91/L91,2)</f>
        <v>6.7</v>
      </c>
    </row>
    <row r="92" customFormat="false" ht="15" hidden="false" customHeight="false" outlineLevel="0" collapsed="false">
      <c r="A92" s="14" t="n">
        <v>91</v>
      </c>
      <c r="B92" s="14" t="s">
        <v>139</v>
      </c>
      <c r="C92" s="14" t="s">
        <v>135</v>
      </c>
      <c r="D92" s="14" t="s">
        <v>128</v>
      </c>
      <c r="E92" s="14" t="s">
        <v>136</v>
      </c>
      <c r="F92" s="14" t="s">
        <v>9</v>
      </c>
      <c r="G92" s="14" t="n">
        <v>90036</v>
      </c>
      <c r="H92" s="14" t="s">
        <v>3</v>
      </c>
      <c r="I92" s="14" t="s">
        <v>5</v>
      </c>
      <c r="J92" s="14" t="s">
        <v>11</v>
      </c>
      <c r="K92" s="15" t="n">
        <v>73.584</v>
      </c>
      <c r="L92" s="14" t="n">
        <v>2</v>
      </c>
      <c r="M92" s="16" t="n">
        <v>0.2</v>
      </c>
      <c r="N92" s="15" t="n">
        <v>8.2782</v>
      </c>
      <c r="O92" s="17" t="str">
        <f aca="false">UPPER(LEFT(F92,3))&amp;"-"&amp;G92</f>
        <v>CAL-90036</v>
      </c>
      <c r="P92" s="17" t="str">
        <f aca="false">PROPER(TRIM(E92))</f>
        <v>Los Angeles</v>
      </c>
      <c r="Q92" s="17" t="str">
        <f aca="false">IFERROR(VLOOKUP(F92,Lookups!$A$2:$B$50,2,FALSE()),"Not found")</f>
        <v>West</v>
      </c>
      <c r="R92" s="17" t="str">
        <f aca="false">IF(Q92=H92,"Match","Mismatch")</f>
        <v>Match</v>
      </c>
      <c r="S92" s="17" t="str">
        <f aca="false">IFERROR(INDEX(SubCatCat,MATCH(J92,SubCatName,0)),"Not found")</f>
        <v>Technology</v>
      </c>
      <c r="T92" s="18" t="n">
        <f aca="false">IF(K92=0,0,N92/K92)</f>
        <v>0.1125</v>
      </c>
      <c r="U92" s="17" t="str">
        <f aca="false">IF(N92&lt;0,"Loss",IF(T92&gt;=0.2,"High margin","Normal"))</f>
        <v>Normal</v>
      </c>
      <c r="V92" s="17" t="str">
        <f aca="false">IF(M92=0,"No discount",IF(M92&lt;=0.2,"Low",IF(M92&lt;=0.4,"Medium","High")))</f>
        <v>Low</v>
      </c>
      <c r="W92" s="17" t="str">
        <f aca="false">IF(OR(B92="Same Day",B92="First Class"),"Fast","Standard")</f>
        <v>Standard</v>
      </c>
      <c r="X92" s="19" t="n">
        <f aca="false">ROUND(K92/L92,2)</f>
        <v>36.79</v>
      </c>
    </row>
    <row r="93" customFormat="false" ht="15" hidden="false" customHeight="false" outlineLevel="0" collapsed="false">
      <c r="A93" s="14" t="n">
        <v>92</v>
      </c>
      <c r="B93" s="14" t="s">
        <v>139</v>
      </c>
      <c r="C93" s="14" t="s">
        <v>135</v>
      </c>
      <c r="D93" s="14" t="s">
        <v>128</v>
      </c>
      <c r="E93" s="14" t="s">
        <v>136</v>
      </c>
      <c r="F93" s="14" t="s">
        <v>9</v>
      </c>
      <c r="G93" s="14" t="n">
        <v>90036</v>
      </c>
      <c r="H93" s="14" t="s">
        <v>3</v>
      </c>
      <c r="I93" s="14" t="s">
        <v>137</v>
      </c>
      <c r="J93" s="14" t="s">
        <v>150</v>
      </c>
      <c r="K93" s="15" t="n">
        <v>6.48</v>
      </c>
      <c r="L93" s="14" t="n">
        <v>1</v>
      </c>
      <c r="M93" s="16" t="n">
        <v>0</v>
      </c>
      <c r="N93" s="15" t="n">
        <v>3.1104</v>
      </c>
      <c r="O93" s="17" t="str">
        <f aca="false">UPPER(LEFT(F93,3))&amp;"-"&amp;G93</f>
        <v>CAL-90036</v>
      </c>
      <c r="P93" s="17" t="str">
        <f aca="false">PROPER(TRIM(E93))</f>
        <v>Los Angeles</v>
      </c>
      <c r="Q93" s="17" t="str">
        <f aca="false">IFERROR(VLOOKUP(F93,Lookups!$A$2:$B$50,2,FALSE()),"Not found")</f>
        <v>West</v>
      </c>
      <c r="R93" s="17" t="str">
        <f aca="false">IF(Q93=H93,"Match","Mismatch")</f>
        <v>Match</v>
      </c>
      <c r="S93" s="17" t="str">
        <f aca="false">IFERROR(INDEX(SubCatCat,MATCH(J93,SubCatName,0)),"Not found")</f>
        <v>Office Supplies</v>
      </c>
      <c r="T93" s="18" t="n">
        <f aca="false">IF(K93=0,0,N93/K93)</f>
        <v>0.48</v>
      </c>
      <c r="U93" s="17" t="str">
        <f aca="false">IF(N93&lt;0,"Loss",IF(T93&gt;=0.2,"High margin","Normal"))</f>
        <v>High margin</v>
      </c>
      <c r="V93" s="17" t="str">
        <f aca="false">IF(M93=0,"No discount",IF(M93&lt;=0.2,"Low",IF(M93&lt;=0.4,"Medium","High")))</f>
        <v>No discount</v>
      </c>
      <c r="W93" s="17" t="str">
        <f aca="false">IF(OR(B93="Same Day",B93="First Class"),"Fast","Standard")</f>
        <v>Standard</v>
      </c>
      <c r="X93" s="19" t="n">
        <f aca="false">ROUND(K93/L93,2)</f>
        <v>6.48</v>
      </c>
    </row>
    <row r="94" customFormat="false" ht="15" hidden="false" customHeight="false" outlineLevel="0" collapsed="false">
      <c r="A94" s="14" t="n">
        <v>93</v>
      </c>
      <c r="B94" s="14" t="s">
        <v>127</v>
      </c>
      <c r="C94" s="14" t="s">
        <v>7</v>
      </c>
      <c r="D94" s="14" t="s">
        <v>128</v>
      </c>
      <c r="E94" s="14" t="s">
        <v>202</v>
      </c>
      <c r="F94" s="14" t="s">
        <v>177</v>
      </c>
      <c r="G94" s="14" t="n">
        <v>55407</v>
      </c>
      <c r="H94" s="14" t="s">
        <v>156</v>
      </c>
      <c r="I94" s="14" t="s">
        <v>137</v>
      </c>
      <c r="J94" s="14" t="s">
        <v>150</v>
      </c>
      <c r="K94" s="15" t="n">
        <v>12.96</v>
      </c>
      <c r="L94" s="14" t="n">
        <v>2</v>
      </c>
      <c r="M94" s="16" t="n">
        <v>0</v>
      </c>
      <c r="N94" s="15" t="n">
        <v>6.2208</v>
      </c>
      <c r="O94" s="17" t="str">
        <f aca="false">UPPER(LEFT(F94,3))&amp;"-"&amp;G94</f>
        <v>MIN-55407</v>
      </c>
      <c r="P94" s="17" t="str">
        <f aca="false">PROPER(TRIM(E94))</f>
        <v>Minneapolis</v>
      </c>
      <c r="Q94" s="17" t="str">
        <f aca="false">IFERROR(VLOOKUP(F94,Lookups!$A$2:$B$50,2,FALSE()),"Not found")</f>
        <v>Central</v>
      </c>
      <c r="R94" s="17" t="str">
        <f aca="false">IF(Q94=H94,"Match","Mismatch")</f>
        <v>Match</v>
      </c>
      <c r="S94" s="17" t="str">
        <f aca="false">IFERROR(INDEX(SubCatCat,MATCH(J94,SubCatName,0)),"Not found")</f>
        <v>Office Supplies</v>
      </c>
      <c r="T94" s="18" t="n">
        <f aca="false">IF(K94=0,0,N94/K94)</f>
        <v>0.48</v>
      </c>
      <c r="U94" s="17" t="str">
        <f aca="false">IF(N94&lt;0,"Loss",IF(T94&gt;=0.2,"High margin","Normal"))</f>
        <v>High margin</v>
      </c>
      <c r="V94" s="17" t="str">
        <f aca="false">IF(M94=0,"No discount",IF(M94&lt;=0.2,"Low",IF(M94&lt;=0.4,"Medium","High")))</f>
        <v>No discount</v>
      </c>
      <c r="W94" s="17" t="str">
        <f aca="false">IF(OR(B94="Same Day",B94="First Class"),"Fast","Standard")</f>
        <v>Standard</v>
      </c>
      <c r="X94" s="19" t="n">
        <f aca="false">ROUND(K94/L94,2)</f>
        <v>6.48</v>
      </c>
    </row>
    <row r="95" customFormat="false" ht="15" hidden="false" customHeight="false" outlineLevel="0" collapsed="false">
      <c r="A95" s="14" t="n">
        <v>94</v>
      </c>
      <c r="B95" s="14" t="s">
        <v>127</v>
      </c>
      <c r="C95" s="14" t="s">
        <v>7</v>
      </c>
      <c r="D95" s="14" t="s">
        <v>128</v>
      </c>
      <c r="E95" s="14" t="s">
        <v>202</v>
      </c>
      <c r="F95" s="14" t="s">
        <v>177</v>
      </c>
      <c r="G95" s="14" t="n">
        <v>55407</v>
      </c>
      <c r="H95" s="14" t="s">
        <v>156</v>
      </c>
      <c r="I95" s="14" t="s">
        <v>132</v>
      </c>
      <c r="J95" s="14" t="s">
        <v>144</v>
      </c>
      <c r="K95" s="15" t="n">
        <v>53.34</v>
      </c>
      <c r="L95" s="14" t="n">
        <v>3</v>
      </c>
      <c r="M95" s="16" t="n">
        <v>0</v>
      </c>
      <c r="N95" s="15" t="n">
        <v>16.5354</v>
      </c>
      <c r="O95" s="17" t="str">
        <f aca="false">UPPER(LEFT(F95,3))&amp;"-"&amp;G95</f>
        <v>MIN-55407</v>
      </c>
      <c r="P95" s="17" t="str">
        <f aca="false">PROPER(TRIM(E95))</f>
        <v>Minneapolis</v>
      </c>
      <c r="Q95" s="17" t="str">
        <f aca="false">IFERROR(VLOOKUP(F95,Lookups!$A$2:$B$50,2,FALSE()),"Not found")</f>
        <v>Central</v>
      </c>
      <c r="R95" s="17" t="str">
        <f aca="false">IF(Q95=H95,"Match","Mismatch")</f>
        <v>Match</v>
      </c>
      <c r="S95" s="17" t="str">
        <f aca="false">IFERROR(INDEX(SubCatCat,MATCH(J95,SubCatName,0)),"Not found")</f>
        <v>Furniture</v>
      </c>
      <c r="T95" s="18" t="n">
        <f aca="false">IF(K95=0,0,N95/K95)</f>
        <v>0.31</v>
      </c>
      <c r="U95" s="17" t="str">
        <f aca="false">IF(N95&lt;0,"Loss",IF(T95&gt;=0.2,"High margin","Normal"))</f>
        <v>High margin</v>
      </c>
      <c r="V95" s="17" t="str">
        <f aca="false">IF(M95=0,"No discount",IF(M95&lt;=0.2,"Low",IF(M95&lt;=0.4,"Medium","High")))</f>
        <v>No discount</v>
      </c>
      <c r="W95" s="17" t="str">
        <f aca="false">IF(OR(B95="Same Day",B95="First Class"),"Fast","Standard")</f>
        <v>Standard</v>
      </c>
      <c r="X95" s="19" t="n">
        <f aca="false">ROUND(K95/L95,2)</f>
        <v>17.78</v>
      </c>
    </row>
    <row r="96" customFormat="false" ht="15" hidden="false" customHeight="false" outlineLevel="0" collapsed="false">
      <c r="A96" s="14" t="n">
        <v>95</v>
      </c>
      <c r="B96" s="14" t="s">
        <v>127</v>
      </c>
      <c r="C96" s="14" t="s">
        <v>7</v>
      </c>
      <c r="D96" s="14" t="s">
        <v>128</v>
      </c>
      <c r="E96" s="14" t="s">
        <v>202</v>
      </c>
      <c r="F96" s="14" t="s">
        <v>177</v>
      </c>
      <c r="G96" s="14" t="n">
        <v>55407</v>
      </c>
      <c r="H96" s="14" t="s">
        <v>156</v>
      </c>
      <c r="I96" s="14" t="s">
        <v>137</v>
      </c>
      <c r="J96" s="14" t="s">
        <v>146</v>
      </c>
      <c r="K96" s="15" t="n">
        <v>32.96</v>
      </c>
      <c r="L96" s="14" t="n">
        <v>2</v>
      </c>
      <c r="M96" s="16" t="n">
        <v>0</v>
      </c>
      <c r="N96" s="15" t="n">
        <v>16.1504</v>
      </c>
      <c r="O96" s="17" t="str">
        <f aca="false">UPPER(LEFT(F96,3))&amp;"-"&amp;G96</f>
        <v>MIN-55407</v>
      </c>
      <c r="P96" s="17" t="str">
        <f aca="false">PROPER(TRIM(E96))</f>
        <v>Minneapolis</v>
      </c>
      <c r="Q96" s="17" t="str">
        <f aca="false">IFERROR(VLOOKUP(F96,Lookups!$A$2:$B$50,2,FALSE()),"Not found")</f>
        <v>Central</v>
      </c>
      <c r="R96" s="17" t="str">
        <f aca="false">IF(Q96=H96,"Match","Mismatch")</f>
        <v>Match</v>
      </c>
      <c r="S96" s="17" t="str">
        <f aca="false">IFERROR(INDEX(SubCatCat,MATCH(J96,SubCatName,0)),"Not found")</f>
        <v>Office Supplies</v>
      </c>
      <c r="T96" s="18" t="n">
        <f aca="false">IF(K96=0,0,N96/K96)</f>
        <v>0.49</v>
      </c>
      <c r="U96" s="17" t="str">
        <f aca="false">IF(N96&lt;0,"Loss",IF(T96&gt;=0.2,"High margin","Normal"))</f>
        <v>High margin</v>
      </c>
      <c r="V96" s="17" t="str">
        <f aca="false">IF(M96=0,"No discount",IF(M96&lt;=0.2,"Low",IF(M96&lt;=0.4,"Medium","High")))</f>
        <v>No discount</v>
      </c>
      <c r="W96" s="17" t="str">
        <f aca="false">IF(OR(B96="Same Day",B96="First Class"),"Fast","Standard")</f>
        <v>Standard</v>
      </c>
      <c r="X96" s="19" t="n">
        <f aca="false">ROUND(K96/L96,2)</f>
        <v>16.48</v>
      </c>
    </row>
    <row r="97" customFormat="false" ht="15" hidden="false" customHeight="false" outlineLevel="0" collapsed="false">
      <c r="A97" s="14" t="n">
        <v>96</v>
      </c>
      <c r="B97" s="14" t="s">
        <v>139</v>
      </c>
      <c r="C97" s="14" t="s">
        <v>153</v>
      </c>
      <c r="D97" s="14" t="s">
        <v>128</v>
      </c>
      <c r="E97" s="14" t="s">
        <v>203</v>
      </c>
      <c r="F97" s="14" t="s">
        <v>204</v>
      </c>
      <c r="G97" s="14" t="n">
        <v>97206</v>
      </c>
      <c r="H97" s="14" t="s">
        <v>3</v>
      </c>
      <c r="I97" s="14" t="s">
        <v>137</v>
      </c>
      <c r="J97" s="14" t="s">
        <v>146</v>
      </c>
      <c r="K97" s="15" t="n">
        <v>5.682</v>
      </c>
      <c r="L97" s="14" t="n">
        <v>1</v>
      </c>
      <c r="M97" s="16" t="n">
        <v>0.7</v>
      </c>
      <c r="N97" s="15" t="n">
        <v>-3.788</v>
      </c>
      <c r="O97" s="17" t="str">
        <f aca="false">UPPER(LEFT(F97,3))&amp;"-"&amp;G97</f>
        <v>ORE-97206</v>
      </c>
      <c r="P97" s="17" t="str">
        <f aca="false">PROPER(TRIM(E97))</f>
        <v>Portland</v>
      </c>
      <c r="Q97" s="17" t="str">
        <f aca="false">IFERROR(VLOOKUP(F97,Lookups!$A$2:$B$50,2,FALSE()),"Not found")</f>
        <v>West</v>
      </c>
      <c r="R97" s="17" t="str">
        <f aca="false">IF(Q97=H97,"Match","Mismatch")</f>
        <v>Match</v>
      </c>
      <c r="S97" s="17" t="str">
        <f aca="false">IFERROR(INDEX(SubCatCat,MATCH(J97,SubCatName,0)),"Not found")</f>
        <v>Office Supplies</v>
      </c>
      <c r="T97" s="18" t="n">
        <f aca="false">IF(K97=0,0,N97/K97)</f>
        <v>-0.666666666666667</v>
      </c>
      <c r="U97" s="17" t="str">
        <f aca="false">IF(N97&lt;0,"Loss",IF(T97&gt;=0.2,"High margin","Normal"))</f>
        <v>Loss</v>
      </c>
      <c r="V97" s="17" t="str">
        <f aca="false">IF(M97=0,"No discount",IF(M97&lt;=0.2,"Low",IF(M97&lt;=0.4,"Medium","High")))</f>
        <v>High</v>
      </c>
      <c r="W97" s="17" t="str">
        <f aca="false">IF(OR(B97="Same Day",B97="First Class"),"Fast","Standard")</f>
        <v>Standard</v>
      </c>
      <c r="X97" s="19" t="n">
        <f aca="false">ROUND(K97/L97,2)</f>
        <v>5.68</v>
      </c>
    </row>
    <row r="98" customFormat="false" ht="15" hidden="false" customHeight="false" outlineLevel="0" collapsed="false">
      <c r="A98" s="14" t="n">
        <v>97</v>
      </c>
      <c r="B98" s="14" t="s">
        <v>127</v>
      </c>
      <c r="C98" s="14" t="s">
        <v>153</v>
      </c>
      <c r="D98" s="14" t="s">
        <v>128</v>
      </c>
      <c r="E98" s="14" t="s">
        <v>184</v>
      </c>
      <c r="F98" s="14" t="s">
        <v>185</v>
      </c>
      <c r="G98" s="14" t="n">
        <v>10009</v>
      </c>
      <c r="H98" s="14" t="s">
        <v>166</v>
      </c>
      <c r="I98" s="14" t="s">
        <v>132</v>
      </c>
      <c r="J98" s="14" t="s">
        <v>144</v>
      </c>
      <c r="K98" s="15" t="n">
        <v>96.53</v>
      </c>
      <c r="L98" s="14" t="n">
        <v>7</v>
      </c>
      <c r="M98" s="16" t="n">
        <v>0</v>
      </c>
      <c r="N98" s="15" t="n">
        <v>40.5426</v>
      </c>
      <c r="O98" s="17" t="str">
        <f aca="false">UPPER(LEFT(F98,3))&amp;"-"&amp;G98</f>
        <v>NEW-10009</v>
      </c>
      <c r="P98" s="17" t="str">
        <f aca="false">PROPER(TRIM(E98))</f>
        <v>New York City</v>
      </c>
      <c r="Q98" s="17" t="str">
        <f aca="false">IFERROR(VLOOKUP(F98,Lookups!$A$2:$B$50,2,FALSE()),"Not found")</f>
        <v>East</v>
      </c>
      <c r="R98" s="17" t="str">
        <f aca="false">IF(Q98=H98,"Match","Mismatch")</f>
        <v>Match</v>
      </c>
      <c r="S98" s="17" t="str">
        <f aca="false">IFERROR(INDEX(SubCatCat,MATCH(J98,SubCatName,0)),"Not found")</f>
        <v>Furniture</v>
      </c>
      <c r="T98" s="18" t="n">
        <f aca="false">IF(K98=0,0,N98/K98)</f>
        <v>0.42</v>
      </c>
      <c r="U98" s="17" t="str">
        <f aca="false">IF(N98&lt;0,"Loss",IF(T98&gt;=0.2,"High margin","Normal"))</f>
        <v>High margin</v>
      </c>
      <c r="V98" s="17" t="str">
        <f aca="false">IF(M98=0,"No discount",IF(M98&lt;=0.2,"Low",IF(M98&lt;=0.4,"Medium","High")))</f>
        <v>No discount</v>
      </c>
      <c r="W98" s="17" t="str">
        <f aca="false">IF(OR(B98="Same Day",B98="First Class"),"Fast","Standard")</f>
        <v>Standard</v>
      </c>
      <c r="X98" s="19" t="n">
        <f aca="false">ROUND(K98/L98,2)</f>
        <v>13.79</v>
      </c>
    </row>
    <row r="99" customFormat="false" ht="15" hidden="false" customHeight="false" outlineLevel="0" collapsed="false">
      <c r="A99" s="14" t="n">
        <v>98</v>
      </c>
      <c r="B99" s="14" t="s">
        <v>171</v>
      </c>
      <c r="C99" s="14" t="s">
        <v>7</v>
      </c>
      <c r="D99" s="14" t="s">
        <v>128</v>
      </c>
      <c r="E99" s="14" t="s">
        <v>161</v>
      </c>
      <c r="F99" s="14" t="s">
        <v>9</v>
      </c>
      <c r="G99" s="14" t="n">
        <v>94122</v>
      </c>
      <c r="H99" s="14" t="s">
        <v>3</v>
      </c>
      <c r="I99" s="14" t="s">
        <v>137</v>
      </c>
      <c r="J99" s="14" t="s">
        <v>146</v>
      </c>
      <c r="K99" s="15" t="n">
        <v>51.312</v>
      </c>
      <c r="L99" s="14" t="n">
        <v>3</v>
      </c>
      <c r="M99" s="16" t="n">
        <v>0.2</v>
      </c>
      <c r="N99" s="15" t="n">
        <v>17.9592</v>
      </c>
      <c r="O99" s="17" t="str">
        <f aca="false">UPPER(LEFT(F99,3))&amp;"-"&amp;G99</f>
        <v>CAL-94122</v>
      </c>
      <c r="P99" s="17" t="str">
        <f aca="false">PROPER(TRIM(E99))</f>
        <v>San Francisco</v>
      </c>
      <c r="Q99" s="17" t="str">
        <f aca="false">IFERROR(VLOOKUP(F99,Lookups!$A$2:$B$50,2,FALSE()),"Not found")</f>
        <v>West</v>
      </c>
      <c r="R99" s="17" t="str">
        <f aca="false">IF(Q99=H99,"Match","Mismatch")</f>
        <v>Match</v>
      </c>
      <c r="S99" s="17" t="str">
        <f aca="false">IFERROR(INDEX(SubCatCat,MATCH(J99,SubCatName,0)),"Not found")</f>
        <v>Office Supplies</v>
      </c>
      <c r="T99" s="18" t="n">
        <f aca="false">IF(K99=0,0,N99/K99)</f>
        <v>0.35</v>
      </c>
      <c r="U99" s="17" t="str">
        <f aca="false">IF(N99&lt;0,"Loss",IF(T99&gt;=0.2,"High margin","Normal"))</f>
        <v>High margin</v>
      </c>
      <c r="V99" s="17" t="str">
        <f aca="false">IF(M99=0,"No discount",IF(M99&lt;=0.2,"Low",IF(M99&lt;=0.4,"Medium","High")))</f>
        <v>Low</v>
      </c>
      <c r="W99" s="17" t="str">
        <f aca="false">IF(OR(B99="Same Day",B99="First Class"),"Fast","Standard")</f>
        <v>Fast</v>
      </c>
      <c r="X99" s="19" t="n">
        <f aca="false">ROUND(K99/L99,2)</f>
        <v>17.1</v>
      </c>
    </row>
    <row r="100" customFormat="false" ht="15" hidden="false" customHeight="false" outlineLevel="0" collapsed="false">
      <c r="A100" s="14" t="n">
        <v>99</v>
      </c>
      <c r="B100" s="14" t="s">
        <v>139</v>
      </c>
      <c r="C100" s="14" t="s">
        <v>135</v>
      </c>
      <c r="D100" s="14" t="s">
        <v>128</v>
      </c>
      <c r="E100" s="14" t="s">
        <v>205</v>
      </c>
      <c r="F100" s="14" t="s">
        <v>177</v>
      </c>
      <c r="G100" s="14" t="n">
        <v>55106</v>
      </c>
      <c r="H100" s="14" t="s">
        <v>156</v>
      </c>
      <c r="I100" s="14" t="s">
        <v>137</v>
      </c>
      <c r="J100" s="14" t="s">
        <v>147</v>
      </c>
      <c r="K100" s="15" t="n">
        <v>77.88</v>
      </c>
      <c r="L100" s="14" t="n">
        <v>6</v>
      </c>
      <c r="M100" s="16" t="n">
        <v>0</v>
      </c>
      <c r="N100" s="15" t="n">
        <v>22.5852</v>
      </c>
      <c r="O100" s="17" t="str">
        <f aca="false">UPPER(LEFT(F100,3))&amp;"-"&amp;G100</f>
        <v>MIN-55106</v>
      </c>
      <c r="P100" s="17" t="str">
        <f aca="false">PROPER(TRIM(E100))</f>
        <v>Saint Paul</v>
      </c>
      <c r="Q100" s="17" t="str">
        <f aca="false">IFERROR(VLOOKUP(F100,Lookups!$A$2:$B$50,2,FALSE()),"Not found")</f>
        <v>Central</v>
      </c>
      <c r="R100" s="17" t="str">
        <f aca="false">IF(Q100=H100,"Match","Mismatch")</f>
        <v>Match</v>
      </c>
      <c r="S100" s="17" t="str">
        <f aca="false">IFERROR(INDEX(SubCatCat,MATCH(J100,SubCatName,0)),"Not found")</f>
        <v>Office Supplies</v>
      </c>
      <c r="T100" s="18" t="n">
        <f aca="false">IF(K100=0,0,N100/K100)</f>
        <v>0.29</v>
      </c>
      <c r="U100" s="17" t="str">
        <f aca="false">IF(N100&lt;0,"Loss",IF(T100&gt;=0.2,"High margin","Normal"))</f>
        <v>High margin</v>
      </c>
      <c r="V100" s="17" t="str">
        <f aca="false">IF(M100=0,"No discount",IF(M100&lt;=0.2,"Low",IF(M100&lt;=0.4,"Medium","High")))</f>
        <v>No discount</v>
      </c>
      <c r="W100" s="17" t="str">
        <f aca="false">IF(OR(B100="Same Day",B100="First Class"),"Fast","Standard")</f>
        <v>Standard</v>
      </c>
      <c r="X100" s="19" t="n">
        <f aca="false">ROUND(K100/L100,2)</f>
        <v>12.98</v>
      </c>
    </row>
    <row r="101" customFormat="false" ht="15" hidden="false" customHeight="false" outlineLevel="0" collapsed="false">
      <c r="A101" s="14" t="n">
        <v>100</v>
      </c>
      <c r="B101" s="14" t="s">
        <v>139</v>
      </c>
      <c r="C101" s="14" t="s">
        <v>153</v>
      </c>
      <c r="D101" s="14" t="s">
        <v>128</v>
      </c>
      <c r="E101" s="14" t="s">
        <v>188</v>
      </c>
      <c r="F101" s="14" t="s">
        <v>174</v>
      </c>
      <c r="G101" s="14" t="n">
        <v>60610</v>
      </c>
      <c r="H101" s="14" t="s">
        <v>156</v>
      </c>
      <c r="I101" s="14" t="s">
        <v>137</v>
      </c>
      <c r="J101" s="14" t="s">
        <v>150</v>
      </c>
      <c r="K101" s="15" t="n">
        <v>64.624</v>
      </c>
      <c r="L101" s="14" t="n">
        <v>7</v>
      </c>
      <c r="M101" s="16" t="n">
        <v>0.2</v>
      </c>
      <c r="N101" s="15" t="n">
        <v>22.6184</v>
      </c>
      <c r="O101" s="17" t="str">
        <f aca="false">UPPER(LEFT(F101,3))&amp;"-"&amp;G101</f>
        <v>ILL-60610</v>
      </c>
      <c r="P101" s="17" t="str">
        <f aca="false">PROPER(TRIM(E101))</f>
        <v>Chicago</v>
      </c>
      <c r="Q101" s="17" t="str">
        <f aca="false">IFERROR(VLOOKUP(F101,Lookups!$A$2:$B$50,2,FALSE()),"Not found")</f>
        <v>Central</v>
      </c>
      <c r="R101" s="17" t="str">
        <f aca="false">IF(Q101=H101,"Match","Mismatch")</f>
        <v>Match</v>
      </c>
      <c r="S101" s="17" t="str">
        <f aca="false">IFERROR(INDEX(SubCatCat,MATCH(J101,SubCatName,0)),"Not found")</f>
        <v>Office Supplies</v>
      </c>
      <c r="T101" s="18" t="n">
        <f aca="false">IF(K101=0,0,N101/K101)</f>
        <v>0.35</v>
      </c>
      <c r="U101" s="17" t="str">
        <f aca="false">IF(N101&lt;0,"Loss",IF(T101&gt;=0.2,"High margin","Normal"))</f>
        <v>High margin</v>
      </c>
      <c r="V101" s="17" t="str">
        <f aca="false">IF(M101=0,"No discount",IF(M101&lt;=0.2,"Low",IF(M101&lt;=0.4,"Medium","High")))</f>
        <v>Low</v>
      </c>
      <c r="W101" s="17" t="str">
        <f aca="false">IF(OR(B101="Same Day",B101="First Class"),"Fast","Standard")</f>
        <v>Standard</v>
      </c>
      <c r="X101" s="19" t="n">
        <f aca="false">ROUND(K101/L101,2)</f>
        <v>9.23</v>
      </c>
    </row>
    <row r="102" customFormat="false" ht="15" hidden="false" customHeight="false" outlineLevel="0" collapsed="false">
      <c r="A102" s="14" t="n">
        <v>101</v>
      </c>
      <c r="B102" s="14" t="s">
        <v>139</v>
      </c>
      <c r="C102" s="14" t="s">
        <v>153</v>
      </c>
      <c r="D102" s="14" t="s">
        <v>128</v>
      </c>
      <c r="E102" s="14" t="s">
        <v>188</v>
      </c>
      <c r="F102" s="14" t="s">
        <v>174</v>
      </c>
      <c r="G102" s="14" t="n">
        <v>60610</v>
      </c>
      <c r="H102" s="14" t="s">
        <v>156</v>
      </c>
      <c r="I102" s="14" t="s">
        <v>5</v>
      </c>
      <c r="J102" s="14" t="s">
        <v>168</v>
      </c>
      <c r="K102" s="15" t="n">
        <v>95.976</v>
      </c>
      <c r="L102" s="14" t="n">
        <v>3</v>
      </c>
      <c r="M102" s="16" t="n">
        <v>0.2</v>
      </c>
      <c r="N102" s="15" t="n">
        <v>-10.7973</v>
      </c>
      <c r="O102" s="17" t="str">
        <f aca="false">UPPER(LEFT(F102,3))&amp;"-"&amp;G102</f>
        <v>ILL-60610</v>
      </c>
      <c r="P102" s="17" t="str">
        <f aca="false">PROPER(TRIM(E102))</f>
        <v>Chicago</v>
      </c>
      <c r="Q102" s="17" t="str">
        <f aca="false">IFERROR(VLOOKUP(F102,Lookups!$A$2:$B$50,2,FALSE()),"Not found")</f>
        <v>Central</v>
      </c>
      <c r="R102" s="17" t="str">
        <f aca="false">IF(Q102=H102,"Match","Mismatch")</f>
        <v>Match</v>
      </c>
      <c r="S102" s="17" t="str">
        <f aca="false">IFERROR(INDEX(SubCatCat,MATCH(J102,SubCatName,0)),"Not found")</f>
        <v>Technology</v>
      </c>
      <c r="T102" s="18" t="n">
        <f aca="false">IF(K102=0,0,N102/K102)</f>
        <v>-0.1125</v>
      </c>
      <c r="U102" s="17" t="str">
        <f aca="false">IF(N102&lt;0,"Loss",IF(T102&gt;=0.2,"High margin","Normal"))</f>
        <v>Loss</v>
      </c>
      <c r="V102" s="17" t="str">
        <f aca="false">IF(M102=0,"No discount",IF(M102&lt;=0.2,"Low",IF(M102&lt;=0.4,"Medium","High")))</f>
        <v>Low</v>
      </c>
      <c r="W102" s="17" t="str">
        <f aca="false">IF(OR(B102="Same Day",B102="First Class"),"Fast","Standard")</f>
        <v>Standard</v>
      </c>
      <c r="X102" s="19" t="n">
        <f aca="false">ROUND(K102/L102,2)</f>
        <v>31.99</v>
      </c>
    </row>
    <row r="103" customFormat="false" ht="15" hidden="false" customHeight="false" outlineLevel="0" collapsed="false">
      <c r="A103" s="14" t="n">
        <v>102</v>
      </c>
      <c r="B103" s="14" t="s">
        <v>139</v>
      </c>
      <c r="C103" s="14" t="s">
        <v>153</v>
      </c>
      <c r="D103" s="14" t="s">
        <v>128</v>
      </c>
      <c r="E103" s="14" t="s">
        <v>188</v>
      </c>
      <c r="F103" s="14" t="s">
        <v>174</v>
      </c>
      <c r="G103" s="14" t="n">
        <v>60610</v>
      </c>
      <c r="H103" s="14" t="s">
        <v>156</v>
      </c>
      <c r="I103" s="14" t="s">
        <v>137</v>
      </c>
      <c r="J103" s="14" t="s">
        <v>146</v>
      </c>
      <c r="K103" s="15" t="n">
        <v>1.788</v>
      </c>
      <c r="L103" s="14" t="n">
        <v>3</v>
      </c>
      <c r="M103" s="16" t="n">
        <v>0.8</v>
      </c>
      <c r="N103" s="15" t="n">
        <v>-3.0396</v>
      </c>
      <c r="O103" s="17" t="str">
        <f aca="false">UPPER(LEFT(F103,3))&amp;"-"&amp;G103</f>
        <v>ILL-60610</v>
      </c>
      <c r="P103" s="17" t="str">
        <f aca="false">PROPER(TRIM(E103))</f>
        <v>Chicago</v>
      </c>
      <c r="Q103" s="17" t="str">
        <f aca="false">IFERROR(VLOOKUP(F103,Lookups!$A$2:$B$50,2,FALSE()),"Not found")</f>
        <v>Central</v>
      </c>
      <c r="R103" s="17" t="str">
        <f aca="false">IF(Q103=H103,"Match","Mismatch")</f>
        <v>Match</v>
      </c>
      <c r="S103" s="17" t="str">
        <f aca="false">IFERROR(INDEX(SubCatCat,MATCH(J103,SubCatName,0)),"Not found")</f>
        <v>Office Supplies</v>
      </c>
      <c r="T103" s="18" t="n">
        <f aca="false">IF(K103=0,0,N103/K103)</f>
        <v>-1.7</v>
      </c>
      <c r="U103" s="17" t="str">
        <f aca="false">IF(N103&lt;0,"Loss",IF(T103&gt;=0.2,"High margin","Normal"))</f>
        <v>Loss</v>
      </c>
      <c r="V103" s="17" t="str">
        <f aca="false">IF(M103=0,"No discount",IF(M103&lt;=0.2,"Low",IF(M103&lt;=0.4,"Medium","High")))</f>
        <v>High</v>
      </c>
      <c r="W103" s="17" t="str">
        <f aca="false">IF(OR(B103="Same Day",B103="First Class"),"Fast","Standard")</f>
        <v>Standard</v>
      </c>
      <c r="X103" s="19" t="n">
        <f aca="false">ROUND(K103/L103,2)</f>
        <v>0.6</v>
      </c>
    </row>
    <row r="104" customFormat="false" ht="15" hidden="false" customHeight="false" outlineLevel="0" collapsed="false">
      <c r="A104" s="14" t="n">
        <v>103</v>
      </c>
      <c r="B104" s="14" t="s">
        <v>127</v>
      </c>
      <c r="C104" s="14" t="s">
        <v>7</v>
      </c>
      <c r="D104" s="14" t="s">
        <v>128</v>
      </c>
      <c r="E104" s="14" t="s">
        <v>201</v>
      </c>
      <c r="F104" s="14" t="s">
        <v>177</v>
      </c>
      <c r="G104" s="14" t="n">
        <v>55901</v>
      </c>
      <c r="H104" s="14" t="s">
        <v>156</v>
      </c>
      <c r="I104" s="14" t="s">
        <v>137</v>
      </c>
      <c r="J104" s="14" t="s">
        <v>150</v>
      </c>
      <c r="K104" s="15" t="n">
        <v>23.92</v>
      </c>
      <c r="L104" s="14" t="n">
        <v>4</v>
      </c>
      <c r="M104" s="16" t="n">
        <v>0</v>
      </c>
      <c r="N104" s="15" t="n">
        <v>11.7208</v>
      </c>
      <c r="O104" s="17" t="str">
        <f aca="false">UPPER(LEFT(F104,3))&amp;"-"&amp;G104</f>
        <v>MIN-55901</v>
      </c>
      <c r="P104" s="17" t="str">
        <f aca="false">PROPER(TRIM(E104))</f>
        <v>Rochester</v>
      </c>
      <c r="Q104" s="17" t="str">
        <f aca="false">IFERROR(VLOOKUP(F104,Lookups!$A$2:$B$50,2,FALSE()),"Not found")</f>
        <v>Central</v>
      </c>
      <c r="R104" s="17" t="str">
        <f aca="false">IF(Q104=H104,"Match","Mismatch")</f>
        <v>Match</v>
      </c>
      <c r="S104" s="17" t="str">
        <f aca="false">IFERROR(INDEX(SubCatCat,MATCH(J104,SubCatName,0)),"Not found")</f>
        <v>Office Supplies</v>
      </c>
      <c r="T104" s="18" t="n">
        <f aca="false">IF(K104=0,0,N104/K104)</f>
        <v>0.49</v>
      </c>
      <c r="U104" s="17" t="str">
        <f aca="false">IF(N104&lt;0,"Loss",IF(T104&gt;=0.2,"High margin","Normal"))</f>
        <v>High margin</v>
      </c>
      <c r="V104" s="17" t="str">
        <f aca="false">IF(M104=0,"No discount",IF(M104&lt;=0.2,"Low",IF(M104&lt;=0.4,"Medium","High")))</f>
        <v>No discount</v>
      </c>
      <c r="W104" s="17" t="str">
        <f aca="false">IF(OR(B104="Same Day",B104="First Class"),"Fast","Standard")</f>
        <v>Standard</v>
      </c>
      <c r="X104" s="19" t="n">
        <f aca="false">ROUND(K104/L104,2)</f>
        <v>5.98</v>
      </c>
    </row>
    <row r="105" customFormat="false" ht="15" hidden="false" customHeight="false" outlineLevel="0" collapsed="false">
      <c r="A105" s="14" t="n">
        <v>104</v>
      </c>
      <c r="B105" s="14" t="s">
        <v>139</v>
      </c>
      <c r="C105" s="14" t="s">
        <v>7</v>
      </c>
      <c r="D105" s="14" t="s">
        <v>128</v>
      </c>
      <c r="E105" s="14" t="s">
        <v>206</v>
      </c>
      <c r="F105" s="14" t="s">
        <v>207</v>
      </c>
      <c r="G105" s="14" t="n">
        <v>80013</v>
      </c>
      <c r="H105" s="14" t="s">
        <v>3</v>
      </c>
      <c r="I105" s="14" t="s">
        <v>5</v>
      </c>
      <c r="J105" s="14" t="s">
        <v>168</v>
      </c>
      <c r="K105" s="15" t="n">
        <v>238.896</v>
      </c>
      <c r="L105" s="14" t="n">
        <v>6</v>
      </c>
      <c r="M105" s="16" t="n">
        <v>0.2</v>
      </c>
      <c r="N105" s="15" t="n">
        <v>-26.8758</v>
      </c>
      <c r="O105" s="17" t="str">
        <f aca="false">UPPER(LEFT(F105,3))&amp;"-"&amp;G105</f>
        <v>COL-80013</v>
      </c>
      <c r="P105" s="17" t="str">
        <f aca="false">PROPER(TRIM(E105))</f>
        <v>Aurora</v>
      </c>
      <c r="Q105" s="17" t="str">
        <f aca="false">IFERROR(VLOOKUP(F105,Lookups!$A$2:$B$50,2,FALSE()),"Not found")</f>
        <v>West</v>
      </c>
      <c r="R105" s="17" t="str">
        <f aca="false">IF(Q105=H105,"Match","Mismatch")</f>
        <v>Match</v>
      </c>
      <c r="S105" s="17" t="str">
        <f aca="false">IFERROR(INDEX(SubCatCat,MATCH(J105,SubCatName,0)),"Not found")</f>
        <v>Technology</v>
      </c>
      <c r="T105" s="18" t="n">
        <f aca="false">IF(K105=0,0,N105/K105)</f>
        <v>-0.1125</v>
      </c>
      <c r="U105" s="17" t="str">
        <f aca="false">IF(N105&lt;0,"Loss",IF(T105&gt;=0.2,"High margin","Normal"))</f>
        <v>Loss</v>
      </c>
      <c r="V105" s="17" t="str">
        <f aca="false">IF(M105=0,"No discount",IF(M105&lt;=0.2,"Low",IF(M105&lt;=0.4,"Medium","High")))</f>
        <v>Low</v>
      </c>
      <c r="W105" s="17" t="str">
        <f aca="false">IF(OR(B105="Same Day",B105="First Class"),"Fast","Standard")</f>
        <v>Standard</v>
      </c>
      <c r="X105" s="19" t="n">
        <f aca="false">ROUND(K105/L105,2)</f>
        <v>39.82</v>
      </c>
    </row>
    <row r="106" customFormat="false" ht="15" hidden="false" customHeight="false" outlineLevel="0" collapsed="false">
      <c r="A106" s="14" t="n">
        <v>105</v>
      </c>
      <c r="B106" s="14" t="s">
        <v>139</v>
      </c>
      <c r="C106" s="14" t="s">
        <v>7</v>
      </c>
      <c r="D106" s="14" t="s">
        <v>128</v>
      </c>
      <c r="E106" s="14" t="s">
        <v>206</v>
      </c>
      <c r="F106" s="14" t="s">
        <v>207</v>
      </c>
      <c r="G106" s="14" t="n">
        <v>80013</v>
      </c>
      <c r="H106" s="14" t="s">
        <v>3</v>
      </c>
      <c r="I106" s="14" t="s">
        <v>132</v>
      </c>
      <c r="J106" s="14" t="s">
        <v>144</v>
      </c>
      <c r="K106" s="15" t="n">
        <v>102.36</v>
      </c>
      <c r="L106" s="14" t="n">
        <v>3</v>
      </c>
      <c r="M106" s="16" t="n">
        <v>0.2</v>
      </c>
      <c r="N106" s="15" t="n">
        <v>-3.8385</v>
      </c>
      <c r="O106" s="17" t="str">
        <f aca="false">UPPER(LEFT(F106,3))&amp;"-"&amp;G106</f>
        <v>COL-80013</v>
      </c>
      <c r="P106" s="17" t="str">
        <f aca="false">PROPER(TRIM(E106))</f>
        <v>Aurora</v>
      </c>
      <c r="Q106" s="17" t="str">
        <f aca="false">IFERROR(VLOOKUP(F106,Lookups!$A$2:$B$50,2,FALSE()),"Not found")</f>
        <v>West</v>
      </c>
      <c r="R106" s="17" t="str">
        <f aca="false">IF(Q106=H106,"Match","Mismatch")</f>
        <v>Match</v>
      </c>
      <c r="S106" s="17" t="str">
        <f aca="false">IFERROR(INDEX(SubCatCat,MATCH(J106,SubCatName,0)),"Not found")</f>
        <v>Furniture</v>
      </c>
      <c r="T106" s="18" t="n">
        <f aca="false">IF(K106=0,0,N106/K106)</f>
        <v>-0.0375</v>
      </c>
      <c r="U106" s="17" t="str">
        <f aca="false">IF(N106&lt;0,"Loss",IF(T106&gt;=0.2,"High margin","Normal"))</f>
        <v>Loss</v>
      </c>
      <c r="V106" s="17" t="str">
        <f aca="false">IF(M106=0,"No discount",IF(M106&lt;=0.2,"Low",IF(M106&lt;=0.4,"Medium","High")))</f>
        <v>Low</v>
      </c>
      <c r="W106" s="17" t="str">
        <f aca="false">IF(OR(B106="Same Day",B106="First Class"),"Fast","Standard")</f>
        <v>Standard</v>
      </c>
      <c r="X106" s="19" t="n">
        <f aca="false">ROUND(K106/L106,2)</f>
        <v>34.12</v>
      </c>
    </row>
    <row r="107" customFormat="false" ht="15" hidden="false" customHeight="false" outlineLevel="0" collapsed="false">
      <c r="A107" s="14" t="n">
        <v>106</v>
      </c>
      <c r="B107" s="14" t="s">
        <v>139</v>
      </c>
      <c r="C107" s="14" t="s">
        <v>7</v>
      </c>
      <c r="D107" s="14" t="s">
        <v>128</v>
      </c>
      <c r="E107" s="14" t="s">
        <v>206</v>
      </c>
      <c r="F107" s="14" t="s">
        <v>207</v>
      </c>
      <c r="G107" s="14" t="n">
        <v>80013</v>
      </c>
      <c r="H107" s="14" t="s">
        <v>3</v>
      </c>
      <c r="I107" s="14" t="s">
        <v>137</v>
      </c>
      <c r="J107" s="14" t="s">
        <v>146</v>
      </c>
      <c r="K107" s="15" t="n">
        <v>36.882</v>
      </c>
      <c r="L107" s="14" t="n">
        <v>3</v>
      </c>
      <c r="M107" s="16" t="n">
        <v>0.7</v>
      </c>
      <c r="N107" s="15" t="n">
        <v>-25.8174</v>
      </c>
      <c r="O107" s="17" t="str">
        <f aca="false">UPPER(LEFT(F107,3))&amp;"-"&amp;G107</f>
        <v>COL-80013</v>
      </c>
      <c r="P107" s="17" t="str">
        <f aca="false">PROPER(TRIM(E107))</f>
        <v>Aurora</v>
      </c>
      <c r="Q107" s="17" t="str">
        <f aca="false">IFERROR(VLOOKUP(F107,Lookups!$A$2:$B$50,2,FALSE()),"Not found")</f>
        <v>West</v>
      </c>
      <c r="R107" s="17" t="str">
        <f aca="false">IF(Q107=H107,"Match","Mismatch")</f>
        <v>Match</v>
      </c>
      <c r="S107" s="17" t="str">
        <f aca="false">IFERROR(INDEX(SubCatCat,MATCH(J107,SubCatName,0)),"Not found")</f>
        <v>Office Supplies</v>
      </c>
      <c r="T107" s="18" t="n">
        <f aca="false">IF(K107=0,0,N107/K107)</f>
        <v>-0.7</v>
      </c>
      <c r="U107" s="17" t="str">
        <f aca="false">IF(N107&lt;0,"Loss",IF(T107&gt;=0.2,"High margin","Normal"))</f>
        <v>Loss</v>
      </c>
      <c r="V107" s="17" t="str">
        <f aca="false">IF(M107=0,"No discount",IF(M107&lt;=0.2,"Low",IF(M107&lt;=0.4,"Medium","High")))</f>
        <v>High</v>
      </c>
      <c r="W107" s="17" t="str">
        <f aca="false">IF(OR(B107="Same Day",B107="First Class"),"Fast","Standard")</f>
        <v>Standard</v>
      </c>
      <c r="X107" s="19" t="n">
        <f aca="false">ROUND(K107/L107,2)</f>
        <v>12.29</v>
      </c>
    </row>
    <row r="108" customFormat="false" ht="15" hidden="false" customHeight="false" outlineLevel="0" collapsed="false">
      <c r="A108" s="14" t="n">
        <v>107</v>
      </c>
      <c r="B108" s="14" t="s">
        <v>139</v>
      </c>
      <c r="C108" s="14" t="s">
        <v>7</v>
      </c>
      <c r="D108" s="14" t="s">
        <v>128</v>
      </c>
      <c r="E108" s="14" t="s">
        <v>208</v>
      </c>
      <c r="F108" s="14" t="s">
        <v>149</v>
      </c>
      <c r="G108" s="14" t="n">
        <v>28205</v>
      </c>
      <c r="H108" s="14" t="s">
        <v>131</v>
      </c>
      <c r="I108" s="14" t="s">
        <v>5</v>
      </c>
      <c r="J108" s="14" t="s">
        <v>168</v>
      </c>
      <c r="K108" s="15" t="n">
        <v>74.112</v>
      </c>
      <c r="L108" s="14" t="n">
        <v>8</v>
      </c>
      <c r="M108" s="16" t="n">
        <v>0.2</v>
      </c>
      <c r="N108" s="15" t="n">
        <v>17.6016</v>
      </c>
      <c r="O108" s="17" t="str">
        <f aca="false">UPPER(LEFT(F108,3))&amp;"-"&amp;G108</f>
        <v>NOR-28205</v>
      </c>
      <c r="P108" s="17" t="str">
        <f aca="false">PROPER(TRIM(E108))</f>
        <v>Charlotte</v>
      </c>
      <c r="Q108" s="17" t="str">
        <f aca="false">IFERROR(VLOOKUP(F108,Lookups!$A$2:$B$50,2,FALSE()),"Not found")</f>
        <v>South</v>
      </c>
      <c r="R108" s="17" t="str">
        <f aca="false">IF(Q108=H108,"Match","Mismatch")</f>
        <v>Match</v>
      </c>
      <c r="S108" s="17" t="str">
        <f aca="false">IFERROR(INDEX(SubCatCat,MATCH(J108,SubCatName,0)),"Not found")</f>
        <v>Technology</v>
      </c>
      <c r="T108" s="18" t="n">
        <f aca="false">IF(K108=0,0,N108/K108)</f>
        <v>0.2375</v>
      </c>
      <c r="U108" s="17" t="str">
        <f aca="false">IF(N108&lt;0,"Loss",IF(T108&gt;=0.2,"High margin","Normal"))</f>
        <v>High margin</v>
      </c>
      <c r="V108" s="17" t="str">
        <f aca="false">IF(M108=0,"No discount",IF(M108&lt;=0.2,"Low",IF(M108&lt;=0.4,"Medium","High")))</f>
        <v>Low</v>
      </c>
      <c r="W108" s="17" t="str">
        <f aca="false">IF(OR(B108="Same Day",B108="First Class"),"Fast","Standard")</f>
        <v>Standard</v>
      </c>
      <c r="X108" s="19" t="n">
        <f aca="false">ROUND(K108/L108,2)</f>
        <v>9.26</v>
      </c>
    </row>
    <row r="109" customFormat="false" ht="15" hidden="false" customHeight="false" outlineLevel="0" collapsed="false">
      <c r="A109" s="14" t="n">
        <v>108</v>
      </c>
      <c r="B109" s="14" t="s">
        <v>139</v>
      </c>
      <c r="C109" s="14" t="s">
        <v>7</v>
      </c>
      <c r="D109" s="14" t="s">
        <v>128</v>
      </c>
      <c r="E109" s="14" t="s">
        <v>208</v>
      </c>
      <c r="F109" s="14" t="s">
        <v>149</v>
      </c>
      <c r="G109" s="14" t="n">
        <v>28205</v>
      </c>
      <c r="H109" s="14" t="s">
        <v>131</v>
      </c>
      <c r="I109" s="14" t="s">
        <v>5</v>
      </c>
      <c r="J109" s="14" t="s">
        <v>11</v>
      </c>
      <c r="K109" s="15" t="n">
        <v>27.992</v>
      </c>
      <c r="L109" s="14" t="n">
        <v>1</v>
      </c>
      <c r="M109" s="16" t="n">
        <v>0.2</v>
      </c>
      <c r="N109" s="15" t="n">
        <v>2.0994</v>
      </c>
      <c r="O109" s="17" t="str">
        <f aca="false">UPPER(LEFT(F109,3))&amp;"-"&amp;G109</f>
        <v>NOR-28205</v>
      </c>
      <c r="P109" s="17" t="str">
        <f aca="false">PROPER(TRIM(E109))</f>
        <v>Charlotte</v>
      </c>
      <c r="Q109" s="17" t="str">
        <f aca="false">IFERROR(VLOOKUP(F109,Lookups!$A$2:$B$50,2,FALSE()),"Not found")</f>
        <v>South</v>
      </c>
      <c r="R109" s="17" t="str">
        <f aca="false">IF(Q109=H109,"Match","Mismatch")</f>
        <v>Match</v>
      </c>
      <c r="S109" s="17" t="str">
        <f aca="false">IFERROR(INDEX(SubCatCat,MATCH(J109,SubCatName,0)),"Not found")</f>
        <v>Technology</v>
      </c>
      <c r="T109" s="18" t="n">
        <f aca="false">IF(K109=0,0,N109/K109)</f>
        <v>0.075</v>
      </c>
      <c r="U109" s="17" t="str">
        <f aca="false">IF(N109&lt;0,"Loss",IF(T109&gt;=0.2,"High margin","Normal"))</f>
        <v>Normal</v>
      </c>
      <c r="V109" s="17" t="str">
        <f aca="false">IF(M109=0,"No discount",IF(M109&lt;=0.2,"Low",IF(M109&lt;=0.4,"Medium","High")))</f>
        <v>Low</v>
      </c>
      <c r="W109" s="17" t="str">
        <f aca="false">IF(OR(B109="Same Day",B109="First Class"),"Fast","Standard")</f>
        <v>Standard</v>
      </c>
      <c r="X109" s="19" t="n">
        <f aca="false">ROUND(K109/L109,2)</f>
        <v>27.99</v>
      </c>
    </row>
    <row r="110" customFormat="false" ht="15" hidden="false" customHeight="false" outlineLevel="0" collapsed="false">
      <c r="A110" s="14" t="n">
        <v>109</v>
      </c>
      <c r="B110" s="14" t="s">
        <v>139</v>
      </c>
      <c r="C110" s="14" t="s">
        <v>7</v>
      </c>
      <c r="D110" s="14" t="s">
        <v>128</v>
      </c>
      <c r="E110" s="14" t="s">
        <v>208</v>
      </c>
      <c r="F110" s="14" t="s">
        <v>149</v>
      </c>
      <c r="G110" s="14" t="n">
        <v>28205</v>
      </c>
      <c r="H110" s="14" t="s">
        <v>131</v>
      </c>
      <c r="I110" s="14" t="s">
        <v>137</v>
      </c>
      <c r="J110" s="14" t="s">
        <v>145</v>
      </c>
      <c r="K110" s="15" t="n">
        <v>3.304</v>
      </c>
      <c r="L110" s="14" t="n">
        <v>1</v>
      </c>
      <c r="M110" s="16" t="n">
        <v>0.2</v>
      </c>
      <c r="N110" s="15" t="n">
        <v>1.0738</v>
      </c>
      <c r="O110" s="17" t="str">
        <f aca="false">UPPER(LEFT(F110,3))&amp;"-"&amp;G110</f>
        <v>NOR-28205</v>
      </c>
      <c r="P110" s="17" t="str">
        <f aca="false">PROPER(TRIM(E110))</f>
        <v>Charlotte</v>
      </c>
      <c r="Q110" s="17" t="str">
        <f aca="false">IFERROR(VLOOKUP(F110,Lookups!$A$2:$B$50,2,FALSE()),"Not found")</f>
        <v>South</v>
      </c>
      <c r="R110" s="17" t="str">
        <f aca="false">IF(Q110=H110,"Match","Mismatch")</f>
        <v>Match</v>
      </c>
      <c r="S110" s="17" t="str">
        <f aca="false">IFERROR(INDEX(SubCatCat,MATCH(J110,SubCatName,0)),"Not found")</f>
        <v>Office Supplies</v>
      </c>
      <c r="T110" s="18" t="n">
        <f aca="false">IF(K110=0,0,N110/K110)</f>
        <v>0.325</v>
      </c>
      <c r="U110" s="17" t="str">
        <f aca="false">IF(N110&lt;0,"Loss",IF(T110&gt;=0.2,"High margin","Normal"))</f>
        <v>High margin</v>
      </c>
      <c r="V110" s="17" t="str">
        <f aca="false">IF(M110=0,"No discount",IF(M110&lt;=0.2,"Low",IF(M110&lt;=0.4,"Medium","High")))</f>
        <v>Low</v>
      </c>
      <c r="W110" s="17" t="str">
        <f aca="false">IF(OR(B110="Same Day",B110="First Class"),"Fast","Standard")</f>
        <v>Standard</v>
      </c>
      <c r="X110" s="19" t="n">
        <f aca="false">ROUND(K110/L110,2)</f>
        <v>3.3</v>
      </c>
    </row>
    <row r="111" customFormat="false" ht="15" hidden="false" customHeight="false" outlineLevel="0" collapsed="false">
      <c r="A111" s="14" t="n">
        <v>110</v>
      </c>
      <c r="B111" s="14" t="s">
        <v>139</v>
      </c>
      <c r="C111" s="14" t="s">
        <v>153</v>
      </c>
      <c r="D111" s="14" t="s">
        <v>128</v>
      </c>
      <c r="E111" s="14" t="s">
        <v>209</v>
      </c>
      <c r="F111" s="14" t="s">
        <v>174</v>
      </c>
      <c r="G111" s="14" t="n">
        <v>60462</v>
      </c>
      <c r="H111" s="14" t="s">
        <v>156</v>
      </c>
      <c r="I111" s="14" t="s">
        <v>5</v>
      </c>
      <c r="J111" s="14" t="s">
        <v>168</v>
      </c>
      <c r="K111" s="15" t="n">
        <v>339.96</v>
      </c>
      <c r="L111" s="14" t="n">
        <v>5</v>
      </c>
      <c r="M111" s="16" t="n">
        <v>0.2</v>
      </c>
      <c r="N111" s="15" t="n">
        <v>67.992</v>
      </c>
      <c r="O111" s="17" t="str">
        <f aca="false">UPPER(LEFT(F111,3))&amp;"-"&amp;G111</f>
        <v>ILL-60462</v>
      </c>
      <c r="P111" s="17" t="str">
        <f aca="false">PROPER(TRIM(E111))</f>
        <v>Orland Park</v>
      </c>
      <c r="Q111" s="17" t="str">
        <f aca="false">IFERROR(VLOOKUP(F111,Lookups!$A$2:$B$50,2,FALSE()),"Not found")</f>
        <v>Central</v>
      </c>
      <c r="R111" s="17" t="str">
        <f aca="false">IF(Q111=H111,"Match","Mismatch")</f>
        <v>Match</v>
      </c>
      <c r="S111" s="17" t="str">
        <f aca="false">IFERROR(INDEX(SubCatCat,MATCH(J111,SubCatName,0)),"Not found")</f>
        <v>Technology</v>
      </c>
      <c r="T111" s="18" t="n">
        <f aca="false">IF(K111=0,0,N111/K111)</f>
        <v>0.2</v>
      </c>
      <c r="U111" s="17" t="str">
        <f aca="false">IF(N111&lt;0,"Loss",IF(T111&gt;=0.2,"High margin","Normal"))</f>
        <v>High margin</v>
      </c>
      <c r="V111" s="17" t="str">
        <f aca="false">IF(M111=0,"No discount",IF(M111&lt;=0.2,"Low",IF(M111&lt;=0.4,"Medium","High")))</f>
        <v>Low</v>
      </c>
      <c r="W111" s="17" t="str">
        <f aca="false">IF(OR(B111="Same Day",B111="First Class"),"Fast","Standard")</f>
        <v>Standard</v>
      </c>
      <c r="X111" s="19" t="n">
        <f aca="false">ROUND(K111/L111,2)</f>
        <v>67.99</v>
      </c>
    </row>
    <row r="112" customFormat="false" ht="15" hidden="false" customHeight="false" outlineLevel="0" collapsed="false">
      <c r="A112" s="14" t="n">
        <v>111</v>
      </c>
      <c r="B112" s="14" t="s">
        <v>139</v>
      </c>
      <c r="C112" s="14" t="s">
        <v>135</v>
      </c>
      <c r="D112" s="14" t="s">
        <v>128</v>
      </c>
      <c r="E112" s="14" t="s">
        <v>184</v>
      </c>
      <c r="F112" s="14" t="s">
        <v>185</v>
      </c>
      <c r="G112" s="14" t="n">
        <v>10035</v>
      </c>
      <c r="H112" s="14" t="s">
        <v>166</v>
      </c>
      <c r="I112" s="14" t="s">
        <v>132</v>
      </c>
      <c r="J112" s="14" t="s">
        <v>144</v>
      </c>
      <c r="K112" s="15" t="n">
        <v>41.96</v>
      </c>
      <c r="L112" s="14" t="n">
        <v>2</v>
      </c>
      <c r="M112" s="16" t="n">
        <v>0</v>
      </c>
      <c r="N112" s="15" t="n">
        <v>10.9096</v>
      </c>
      <c r="O112" s="17" t="str">
        <f aca="false">UPPER(LEFT(F112,3))&amp;"-"&amp;G112</f>
        <v>NEW-10035</v>
      </c>
      <c r="P112" s="17" t="str">
        <f aca="false">PROPER(TRIM(E112))</f>
        <v>New York City</v>
      </c>
      <c r="Q112" s="17" t="str">
        <f aca="false">IFERROR(VLOOKUP(F112,Lookups!$A$2:$B$50,2,FALSE()),"Not found")</f>
        <v>East</v>
      </c>
      <c r="R112" s="17" t="str">
        <f aca="false">IF(Q112=H112,"Match","Mismatch")</f>
        <v>Match</v>
      </c>
      <c r="S112" s="17" t="str">
        <f aca="false">IFERROR(INDEX(SubCatCat,MATCH(J112,SubCatName,0)),"Not found")</f>
        <v>Furniture</v>
      </c>
      <c r="T112" s="18" t="n">
        <f aca="false">IF(K112=0,0,N112/K112)</f>
        <v>0.26</v>
      </c>
      <c r="U112" s="17" t="str">
        <f aca="false">IF(N112&lt;0,"Loss",IF(T112&gt;=0.2,"High margin","Normal"))</f>
        <v>High margin</v>
      </c>
      <c r="V112" s="17" t="str">
        <f aca="false">IF(M112=0,"No discount",IF(M112&lt;=0.2,"Low",IF(M112&lt;=0.4,"Medium","High")))</f>
        <v>No discount</v>
      </c>
      <c r="W112" s="17" t="str">
        <f aca="false">IF(OR(B112="Same Day",B112="First Class"),"Fast","Standard")</f>
        <v>Standard</v>
      </c>
      <c r="X112" s="19" t="n">
        <f aca="false">ROUND(K112/L112,2)</f>
        <v>20.98</v>
      </c>
    </row>
    <row r="113" customFormat="false" ht="15" hidden="false" customHeight="false" outlineLevel="0" collapsed="false">
      <c r="A113" s="14" t="n">
        <v>112</v>
      </c>
      <c r="B113" s="14" t="s">
        <v>139</v>
      </c>
      <c r="C113" s="14" t="s">
        <v>7</v>
      </c>
      <c r="D113" s="14" t="s">
        <v>128</v>
      </c>
      <c r="E113" s="14" t="s">
        <v>210</v>
      </c>
      <c r="F113" s="14" t="s">
        <v>211</v>
      </c>
      <c r="G113" s="14" t="n">
        <v>50322</v>
      </c>
      <c r="H113" s="14" t="s">
        <v>156</v>
      </c>
      <c r="I113" s="14" t="s">
        <v>137</v>
      </c>
      <c r="J113" s="14" t="s">
        <v>145</v>
      </c>
      <c r="K113" s="15" t="n">
        <v>75.96</v>
      </c>
      <c r="L113" s="14" t="n">
        <v>2</v>
      </c>
      <c r="M113" s="16" t="n">
        <v>0</v>
      </c>
      <c r="N113" s="15" t="n">
        <v>22.788</v>
      </c>
      <c r="O113" s="17" t="str">
        <f aca="false">UPPER(LEFT(F113,3))&amp;"-"&amp;G113</f>
        <v>IOW-50322</v>
      </c>
      <c r="P113" s="17" t="str">
        <f aca="false">PROPER(TRIM(E113))</f>
        <v>Urbandale</v>
      </c>
      <c r="Q113" s="17" t="str">
        <f aca="false">IFERROR(VLOOKUP(F113,Lookups!$A$2:$B$50,2,FALSE()),"Not found")</f>
        <v>Central</v>
      </c>
      <c r="R113" s="17" t="str">
        <f aca="false">IF(Q113=H113,"Match","Mismatch")</f>
        <v>Match</v>
      </c>
      <c r="S113" s="17" t="str">
        <f aca="false">IFERROR(INDEX(SubCatCat,MATCH(J113,SubCatName,0)),"Not found")</f>
        <v>Office Supplies</v>
      </c>
      <c r="T113" s="18" t="n">
        <f aca="false">IF(K113=0,0,N113/K113)</f>
        <v>0.3</v>
      </c>
      <c r="U113" s="17" t="str">
        <f aca="false">IF(N113&lt;0,"Loss",IF(T113&gt;=0.2,"High margin","Normal"))</f>
        <v>High margin</v>
      </c>
      <c r="V113" s="17" t="str">
        <f aca="false">IF(M113=0,"No discount",IF(M113&lt;=0.2,"Low",IF(M113&lt;=0.4,"Medium","High")))</f>
        <v>No discount</v>
      </c>
      <c r="W113" s="17" t="str">
        <f aca="false">IF(OR(B113="Same Day",B113="First Class"),"Fast","Standard")</f>
        <v>Standard</v>
      </c>
      <c r="X113" s="19" t="n">
        <f aca="false">ROUND(K113/L113,2)</f>
        <v>37.98</v>
      </c>
    </row>
    <row r="114" customFormat="false" ht="15" hidden="false" customHeight="false" outlineLevel="0" collapsed="false">
      <c r="A114" s="14" t="n">
        <v>113</v>
      </c>
      <c r="B114" s="14" t="s">
        <v>139</v>
      </c>
      <c r="C114" s="14" t="s">
        <v>7</v>
      </c>
      <c r="D114" s="14" t="s">
        <v>128</v>
      </c>
      <c r="E114" s="14" t="s">
        <v>210</v>
      </c>
      <c r="F114" s="14" t="s">
        <v>211</v>
      </c>
      <c r="G114" s="14" t="n">
        <v>50322</v>
      </c>
      <c r="H114" s="14" t="s">
        <v>156</v>
      </c>
      <c r="I114" s="14" t="s">
        <v>137</v>
      </c>
      <c r="J114" s="14" t="s">
        <v>146</v>
      </c>
      <c r="K114" s="15" t="n">
        <v>27.24</v>
      </c>
      <c r="L114" s="14" t="n">
        <v>6</v>
      </c>
      <c r="M114" s="16" t="n">
        <v>0</v>
      </c>
      <c r="N114" s="15" t="n">
        <v>13.3476</v>
      </c>
      <c r="O114" s="17" t="str">
        <f aca="false">UPPER(LEFT(F114,3))&amp;"-"&amp;G114</f>
        <v>IOW-50322</v>
      </c>
      <c r="P114" s="17" t="str">
        <f aca="false">PROPER(TRIM(E114))</f>
        <v>Urbandale</v>
      </c>
      <c r="Q114" s="17" t="str">
        <f aca="false">IFERROR(VLOOKUP(F114,Lookups!$A$2:$B$50,2,FALSE()),"Not found")</f>
        <v>Central</v>
      </c>
      <c r="R114" s="17" t="str">
        <f aca="false">IF(Q114=H114,"Match","Mismatch")</f>
        <v>Match</v>
      </c>
      <c r="S114" s="17" t="str">
        <f aca="false">IFERROR(INDEX(SubCatCat,MATCH(J114,SubCatName,0)),"Not found")</f>
        <v>Office Supplies</v>
      </c>
      <c r="T114" s="18" t="n">
        <f aca="false">IF(K114=0,0,N114/K114)</f>
        <v>0.49</v>
      </c>
      <c r="U114" s="17" t="str">
        <f aca="false">IF(N114&lt;0,"Loss",IF(T114&gt;=0.2,"High margin","Normal"))</f>
        <v>High margin</v>
      </c>
      <c r="V114" s="17" t="str">
        <f aca="false">IF(M114=0,"No discount",IF(M114&lt;=0.2,"Low",IF(M114&lt;=0.4,"Medium","High")))</f>
        <v>No discount</v>
      </c>
      <c r="W114" s="17" t="str">
        <f aca="false">IF(OR(B114="Same Day",B114="First Class"),"Fast","Standard")</f>
        <v>Standard</v>
      </c>
      <c r="X114" s="19" t="n">
        <f aca="false">ROUND(K114/L114,2)</f>
        <v>4.54</v>
      </c>
    </row>
    <row r="115" customFormat="false" ht="15" hidden="false" customHeight="false" outlineLevel="0" collapsed="false">
      <c r="A115" s="14" t="n">
        <v>114</v>
      </c>
      <c r="B115" s="14" t="s">
        <v>127</v>
      </c>
      <c r="C115" s="14" t="s">
        <v>7</v>
      </c>
      <c r="D115" s="14" t="s">
        <v>128</v>
      </c>
      <c r="E115" s="14" t="s">
        <v>212</v>
      </c>
      <c r="F115" s="14" t="s">
        <v>213</v>
      </c>
      <c r="G115" s="14" t="n">
        <v>43229</v>
      </c>
      <c r="H115" s="14" t="s">
        <v>166</v>
      </c>
      <c r="I115" s="14" t="s">
        <v>137</v>
      </c>
      <c r="J115" s="14" t="s">
        <v>186</v>
      </c>
      <c r="K115" s="15" t="n">
        <v>40.096</v>
      </c>
      <c r="L115" s="14" t="n">
        <v>14</v>
      </c>
      <c r="M115" s="16" t="n">
        <v>0.2</v>
      </c>
      <c r="N115" s="15" t="n">
        <v>14.5348</v>
      </c>
      <c r="O115" s="17" t="str">
        <f aca="false">UPPER(LEFT(F115,3))&amp;"-"&amp;G115</f>
        <v>OHI-43229</v>
      </c>
      <c r="P115" s="17" t="str">
        <f aca="false">PROPER(TRIM(E115))</f>
        <v>Columbus</v>
      </c>
      <c r="Q115" s="17" t="str">
        <f aca="false">IFERROR(VLOOKUP(F115,Lookups!$A$2:$B$50,2,FALSE()),"Not found")</f>
        <v>East</v>
      </c>
      <c r="R115" s="17" t="str">
        <f aca="false">IF(Q115=H115,"Match","Mismatch")</f>
        <v>Match</v>
      </c>
      <c r="S115" s="17" t="str">
        <f aca="false">IFERROR(INDEX(SubCatCat,MATCH(J115,SubCatName,0)),"Not found")</f>
        <v>Office Supplies</v>
      </c>
      <c r="T115" s="18" t="n">
        <f aca="false">IF(K115=0,0,N115/K115)</f>
        <v>0.3625</v>
      </c>
      <c r="U115" s="17" t="str">
        <f aca="false">IF(N115&lt;0,"Loss",IF(T115&gt;=0.2,"High margin","Normal"))</f>
        <v>High margin</v>
      </c>
      <c r="V115" s="17" t="str">
        <f aca="false">IF(M115=0,"No discount",IF(M115&lt;=0.2,"Low",IF(M115&lt;=0.4,"Medium","High")))</f>
        <v>Low</v>
      </c>
      <c r="W115" s="17" t="str">
        <f aca="false">IF(OR(B115="Same Day",B115="First Class"),"Fast","Standard")</f>
        <v>Standard</v>
      </c>
      <c r="X115" s="19" t="n">
        <f aca="false">ROUND(K115/L115,2)</f>
        <v>2.86</v>
      </c>
    </row>
    <row r="116" customFormat="false" ht="15" hidden="false" customHeight="false" outlineLevel="0" collapsed="false">
      <c r="A116" s="14" t="n">
        <v>115</v>
      </c>
      <c r="B116" s="14" t="s">
        <v>127</v>
      </c>
      <c r="C116" s="14" t="s">
        <v>7</v>
      </c>
      <c r="D116" s="14" t="s">
        <v>128</v>
      </c>
      <c r="E116" s="14" t="s">
        <v>212</v>
      </c>
      <c r="F116" s="14" t="s">
        <v>213</v>
      </c>
      <c r="G116" s="14" t="n">
        <v>43229</v>
      </c>
      <c r="H116" s="14" t="s">
        <v>166</v>
      </c>
      <c r="I116" s="14" t="s">
        <v>137</v>
      </c>
      <c r="J116" s="14" t="s">
        <v>169</v>
      </c>
      <c r="K116" s="15" t="n">
        <v>4.72</v>
      </c>
      <c r="L116" s="14" t="n">
        <v>2</v>
      </c>
      <c r="M116" s="16" t="n">
        <v>0.2</v>
      </c>
      <c r="N116" s="15" t="n">
        <v>1.652</v>
      </c>
      <c r="O116" s="17" t="str">
        <f aca="false">UPPER(LEFT(F116,3))&amp;"-"&amp;G116</f>
        <v>OHI-43229</v>
      </c>
      <c r="P116" s="17" t="str">
        <f aca="false">PROPER(TRIM(E116))</f>
        <v>Columbus</v>
      </c>
      <c r="Q116" s="17" t="str">
        <f aca="false">IFERROR(VLOOKUP(F116,Lookups!$A$2:$B$50,2,FALSE()),"Not found")</f>
        <v>East</v>
      </c>
      <c r="R116" s="17" t="str">
        <f aca="false">IF(Q116=H116,"Match","Mismatch")</f>
        <v>Match</v>
      </c>
      <c r="S116" s="17" t="str">
        <f aca="false">IFERROR(INDEX(SubCatCat,MATCH(J116,SubCatName,0)),"Not found")</f>
        <v>Office Supplies</v>
      </c>
      <c r="T116" s="18" t="n">
        <f aca="false">IF(K116=0,0,N116/K116)</f>
        <v>0.35</v>
      </c>
      <c r="U116" s="17" t="str">
        <f aca="false">IF(N116&lt;0,"Loss",IF(T116&gt;=0.2,"High margin","Normal"))</f>
        <v>High margin</v>
      </c>
      <c r="V116" s="17" t="str">
        <f aca="false">IF(M116=0,"No discount",IF(M116&lt;=0.2,"Low",IF(M116&lt;=0.4,"Medium","High")))</f>
        <v>Low</v>
      </c>
      <c r="W116" s="17" t="str">
        <f aca="false">IF(OR(B116="Same Day",B116="First Class"),"Fast","Standard")</f>
        <v>Standard</v>
      </c>
      <c r="X116" s="19" t="n">
        <f aca="false">ROUND(K116/L116,2)</f>
        <v>2.36</v>
      </c>
    </row>
    <row r="117" customFormat="false" ht="15" hidden="false" customHeight="false" outlineLevel="0" collapsed="false">
      <c r="A117" s="14" t="n">
        <v>116</v>
      </c>
      <c r="B117" s="14" t="s">
        <v>127</v>
      </c>
      <c r="C117" s="14" t="s">
        <v>7</v>
      </c>
      <c r="D117" s="14" t="s">
        <v>128</v>
      </c>
      <c r="E117" s="14" t="s">
        <v>212</v>
      </c>
      <c r="F117" s="14" t="s">
        <v>213</v>
      </c>
      <c r="G117" s="14" t="n">
        <v>43229</v>
      </c>
      <c r="H117" s="14" t="s">
        <v>166</v>
      </c>
      <c r="I117" s="14" t="s">
        <v>137</v>
      </c>
      <c r="J117" s="14" t="s">
        <v>150</v>
      </c>
      <c r="K117" s="15" t="n">
        <v>23.976</v>
      </c>
      <c r="L117" s="14" t="n">
        <v>3</v>
      </c>
      <c r="M117" s="16" t="n">
        <v>0.2</v>
      </c>
      <c r="N117" s="15" t="n">
        <v>7.4925</v>
      </c>
      <c r="O117" s="17" t="str">
        <f aca="false">UPPER(LEFT(F117,3))&amp;"-"&amp;G117</f>
        <v>OHI-43229</v>
      </c>
      <c r="P117" s="17" t="str">
        <f aca="false">PROPER(TRIM(E117))</f>
        <v>Columbus</v>
      </c>
      <c r="Q117" s="17" t="str">
        <f aca="false">IFERROR(VLOOKUP(F117,Lookups!$A$2:$B$50,2,FALSE()),"Not found")</f>
        <v>East</v>
      </c>
      <c r="R117" s="17" t="str">
        <f aca="false">IF(Q117=H117,"Match","Mismatch")</f>
        <v>Match</v>
      </c>
      <c r="S117" s="17" t="str">
        <f aca="false">IFERROR(INDEX(SubCatCat,MATCH(J117,SubCatName,0)),"Not found")</f>
        <v>Office Supplies</v>
      </c>
      <c r="T117" s="18" t="n">
        <f aca="false">IF(K117=0,0,N117/K117)</f>
        <v>0.3125</v>
      </c>
      <c r="U117" s="17" t="str">
        <f aca="false">IF(N117&lt;0,"Loss",IF(T117&gt;=0.2,"High margin","Normal"))</f>
        <v>High margin</v>
      </c>
      <c r="V117" s="17" t="str">
        <f aca="false">IF(M117=0,"No discount",IF(M117&lt;=0.2,"Low",IF(M117&lt;=0.4,"Medium","High")))</f>
        <v>Low</v>
      </c>
      <c r="W117" s="17" t="str">
        <f aca="false">IF(OR(B117="Same Day",B117="First Class"),"Fast","Standard")</f>
        <v>Standard</v>
      </c>
      <c r="X117" s="19" t="n">
        <f aca="false">ROUND(K117/L117,2)</f>
        <v>7.99</v>
      </c>
    </row>
    <row r="118" customFormat="false" ht="15" hidden="false" customHeight="false" outlineLevel="0" collapsed="false">
      <c r="A118" s="14" t="n">
        <v>117</v>
      </c>
      <c r="B118" s="14" t="s">
        <v>127</v>
      </c>
      <c r="C118" s="14" t="s">
        <v>7</v>
      </c>
      <c r="D118" s="14" t="s">
        <v>128</v>
      </c>
      <c r="E118" s="14" t="s">
        <v>212</v>
      </c>
      <c r="F118" s="14" t="s">
        <v>213</v>
      </c>
      <c r="G118" s="14" t="n">
        <v>43229</v>
      </c>
      <c r="H118" s="14" t="s">
        <v>166</v>
      </c>
      <c r="I118" s="14" t="s">
        <v>137</v>
      </c>
      <c r="J118" s="14" t="s">
        <v>169</v>
      </c>
      <c r="K118" s="15" t="n">
        <v>130.464</v>
      </c>
      <c r="L118" s="14" t="n">
        <v>6</v>
      </c>
      <c r="M118" s="16" t="n">
        <v>0.2</v>
      </c>
      <c r="N118" s="15" t="n">
        <v>44.0316</v>
      </c>
      <c r="O118" s="17" t="str">
        <f aca="false">UPPER(LEFT(F118,3))&amp;"-"&amp;G118</f>
        <v>OHI-43229</v>
      </c>
      <c r="P118" s="17" t="str">
        <f aca="false">PROPER(TRIM(E118))</f>
        <v>Columbus</v>
      </c>
      <c r="Q118" s="17" t="str">
        <f aca="false">IFERROR(VLOOKUP(F118,Lookups!$A$2:$B$50,2,FALSE()),"Not found")</f>
        <v>East</v>
      </c>
      <c r="R118" s="17" t="str">
        <f aca="false">IF(Q118=H118,"Match","Mismatch")</f>
        <v>Match</v>
      </c>
      <c r="S118" s="17" t="str">
        <f aca="false">IFERROR(INDEX(SubCatCat,MATCH(J118,SubCatName,0)),"Not found")</f>
        <v>Office Supplies</v>
      </c>
      <c r="T118" s="18" t="n">
        <f aca="false">IF(K118=0,0,N118/K118)</f>
        <v>0.3375</v>
      </c>
      <c r="U118" s="17" t="str">
        <f aca="false">IF(N118&lt;0,"Loss",IF(T118&gt;=0.2,"High margin","Normal"))</f>
        <v>High margin</v>
      </c>
      <c r="V118" s="17" t="str">
        <f aca="false">IF(M118=0,"No discount",IF(M118&lt;=0.2,"Low",IF(M118&lt;=0.4,"Medium","High")))</f>
        <v>Low</v>
      </c>
      <c r="W118" s="17" t="str">
        <f aca="false">IF(OR(B118="Same Day",B118="First Class"),"Fast","Standard")</f>
        <v>Standard</v>
      </c>
      <c r="X118" s="19" t="n">
        <f aca="false">ROUND(K118/L118,2)</f>
        <v>21.74</v>
      </c>
    </row>
    <row r="119" customFormat="false" ht="15" hidden="false" customHeight="false" outlineLevel="0" collapsed="false">
      <c r="A119" s="14" t="n">
        <v>118</v>
      </c>
      <c r="B119" s="14" t="s">
        <v>139</v>
      </c>
      <c r="C119" s="14" t="s">
        <v>7</v>
      </c>
      <c r="D119" s="14" t="s">
        <v>128</v>
      </c>
      <c r="E119" s="14" t="s">
        <v>151</v>
      </c>
      <c r="F119" s="14" t="s">
        <v>152</v>
      </c>
      <c r="G119" s="14" t="n">
        <v>98103</v>
      </c>
      <c r="H119" s="14" t="s">
        <v>3</v>
      </c>
      <c r="I119" s="14" t="s">
        <v>132</v>
      </c>
      <c r="J119" s="14" t="s">
        <v>142</v>
      </c>
      <c r="K119" s="15" t="n">
        <v>787.53</v>
      </c>
      <c r="L119" s="14" t="n">
        <v>3</v>
      </c>
      <c r="M119" s="16" t="n">
        <v>0</v>
      </c>
      <c r="N119" s="15" t="n">
        <v>165.3813</v>
      </c>
      <c r="O119" s="17" t="str">
        <f aca="false">UPPER(LEFT(F119,3))&amp;"-"&amp;G119</f>
        <v>WAS-98103</v>
      </c>
      <c r="P119" s="17" t="str">
        <f aca="false">PROPER(TRIM(E119))</f>
        <v>Seattle</v>
      </c>
      <c r="Q119" s="17" t="str">
        <f aca="false">IFERROR(VLOOKUP(F119,Lookups!$A$2:$B$50,2,FALSE()),"Not found")</f>
        <v>West</v>
      </c>
      <c r="R119" s="17" t="str">
        <f aca="false">IF(Q119=H119,"Match","Mismatch")</f>
        <v>Match</v>
      </c>
      <c r="S119" s="17" t="str">
        <f aca="false">IFERROR(INDEX(SubCatCat,MATCH(J119,SubCatName,0)),"Not found")</f>
        <v>Furniture</v>
      </c>
      <c r="T119" s="18" t="n">
        <f aca="false">IF(K119=0,0,N119/K119)</f>
        <v>0.21</v>
      </c>
      <c r="U119" s="17" t="str">
        <f aca="false">IF(N119&lt;0,"Loss",IF(T119&gt;=0.2,"High margin","Normal"))</f>
        <v>High margin</v>
      </c>
      <c r="V119" s="17" t="str">
        <f aca="false">IF(M119=0,"No discount",IF(M119&lt;=0.2,"Low",IF(M119&lt;=0.4,"Medium","High")))</f>
        <v>No discount</v>
      </c>
      <c r="W119" s="17" t="str">
        <f aca="false">IF(OR(B119="Same Day",B119="First Class"),"Fast","Standard")</f>
        <v>Standard</v>
      </c>
      <c r="X119" s="19" t="n">
        <f aca="false">ROUND(K119/L119,2)</f>
        <v>262.51</v>
      </c>
    </row>
    <row r="120" customFormat="false" ht="15" hidden="false" customHeight="false" outlineLevel="0" collapsed="false">
      <c r="A120" s="14" t="n">
        <v>119</v>
      </c>
      <c r="B120" s="14" t="s">
        <v>139</v>
      </c>
      <c r="C120" s="14" t="s">
        <v>135</v>
      </c>
      <c r="D120" s="14" t="s">
        <v>128</v>
      </c>
      <c r="E120" s="14" t="s">
        <v>214</v>
      </c>
      <c r="F120" s="14" t="s">
        <v>195</v>
      </c>
      <c r="G120" s="14" t="n">
        <v>37620</v>
      </c>
      <c r="H120" s="14" t="s">
        <v>131</v>
      </c>
      <c r="I120" s="14" t="s">
        <v>137</v>
      </c>
      <c r="J120" s="14" t="s">
        <v>146</v>
      </c>
      <c r="K120" s="15" t="n">
        <v>157.794</v>
      </c>
      <c r="L120" s="14" t="n">
        <v>1</v>
      </c>
      <c r="M120" s="16" t="n">
        <v>0.7</v>
      </c>
      <c r="N120" s="15" t="n">
        <v>-115.7156</v>
      </c>
      <c r="O120" s="17" t="str">
        <f aca="false">UPPER(LEFT(F120,3))&amp;"-"&amp;G120</f>
        <v>TEN-37620</v>
      </c>
      <c r="P120" s="17" t="str">
        <f aca="false">PROPER(TRIM(E120))</f>
        <v>Bristol</v>
      </c>
      <c r="Q120" s="17" t="str">
        <f aca="false">IFERROR(VLOOKUP(F120,Lookups!$A$2:$B$50,2,FALSE()),"Not found")</f>
        <v>South</v>
      </c>
      <c r="R120" s="17" t="str">
        <f aca="false">IF(Q120=H120,"Match","Mismatch")</f>
        <v>Match</v>
      </c>
      <c r="S120" s="17" t="str">
        <f aca="false">IFERROR(INDEX(SubCatCat,MATCH(J120,SubCatName,0)),"Not found")</f>
        <v>Office Supplies</v>
      </c>
      <c r="T120" s="18" t="n">
        <f aca="false">IF(K120=0,0,N120/K120)</f>
        <v>-0.733333333333333</v>
      </c>
      <c r="U120" s="17" t="str">
        <f aca="false">IF(N120&lt;0,"Loss",IF(T120&gt;=0.2,"High margin","Normal"))</f>
        <v>Loss</v>
      </c>
      <c r="V120" s="17" t="str">
        <f aca="false">IF(M120=0,"No discount",IF(M120&lt;=0.2,"Low",IF(M120&lt;=0.4,"Medium","High")))</f>
        <v>High</v>
      </c>
      <c r="W120" s="17" t="str">
        <f aca="false">IF(OR(B120="Same Day",B120="First Class"),"Fast","Standard")</f>
        <v>Standard</v>
      </c>
      <c r="X120" s="19" t="n">
        <f aca="false">ROUND(K120/L120,2)</f>
        <v>157.79</v>
      </c>
    </row>
    <row r="121" customFormat="false" ht="15" hidden="false" customHeight="false" outlineLevel="0" collapsed="false">
      <c r="A121" s="14" t="n">
        <v>120</v>
      </c>
      <c r="B121" s="14" t="s">
        <v>171</v>
      </c>
      <c r="C121" s="14" t="s">
        <v>7</v>
      </c>
      <c r="D121" s="14" t="s">
        <v>128</v>
      </c>
      <c r="E121" s="14" t="s">
        <v>215</v>
      </c>
      <c r="F121" s="14" t="s">
        <v>181</v>
      </c>
      <c r="G121" s="14" t="n">
        <v>19805</v>
      </c>
      <c r="H121" s="14" t="s">
        <v>166</v>
      </c>
      <c r="I121" s="14" t="s">
        <v>132</v>
      </c>
      <c r="J121" s="14" t="s">
        <v>144</v>
      </c>
      <c r="K121" s="15" t="n">
        <v>47.04</v>
      </c>
      <c r="L121" s="14" t="n">
        <v>3</v>
      </c>
      <c r="M121" s="16" t="n">
        <v>0</v>
      </c>
      <c r="N121" s="15" t="n">
        <v>18.3456</v>
      </c>
      <c r="O121" s="17" t="str">
        <f aca="false">UPPER(LEFT(F121,3))&amp;"-"&amp;G121</f>
        <v>DEL-19805</v>
      </c>
      <c r="P121" s="17" t="str">
        <f aca="false">PROPER(TRIM(E121))</f>
        <v>Wilmington</v>
      </c>
      <c r="Q121" s="17" t="str">
        <f aca="false">IFERROR(VLOOKUP(F121,Lookups!$A$2:$B$50,2,FALSE()),"Not found")</f>
        <v>East</v>
      </c>
      <c r="R121" s="17" t="str">
        <f aca="false">IF(Q121=H121,"Match","Mismatch")</f>
        <v>Match</v>
      </c>
      <c r="S121" s="17" t="str">
        <f aca="false">IFERROR(INDEX(SubCatCat,MATCH(J121,SubCatName,0)),"Not found")</f>
        <v>Furniture</v>
      </c>
      <c r="T121" s="18" t="n">
        <f aca="false">IF(K121=0,0,N121/K121)</f>
        <v>0.39</v>
      </c>
      <c r="U121" s="17" t="str">
        <f aca="false">IF(N121&lt;0,"Loss",IF(T121&gt;=0.2,"High margin","Normal"))</f>
        <v>High margin</v>
      </c>
      <c r="V121" s="17" t="str">
        <f aca="false">IF(M121=0,"No discount",IF(M121&lt;=0.2,"Low",IF(M121&lt;=0.4,"Medium","High")))</f>
        <v>No discount</v>
      </c>
      <c r="W121" s="17" t="str">
        <f aca="false">IF(OR(B121="Same Day",B121="First Class"),"Fast","Standard")</f>
        <v>Fast</v>
      </c>
      <c r="X121" s="19" t="n">
        <f aca="false">ROUND(K121/L121,2)</f>
        <v>15.68</v>
      </c>
    </row>
    <row r="122" customFormat="false" ht="15" hidden="false" customHeight="false" outlineLevel="0" collapsed="false">
      <c r="A122" s="14" t="n">
        <v>121</v>
      </c>
      <c r="B122" s="14" t="s">
        <v>171</v>
      </c>
      <c r="C122" s="14" t="s">
        <v>7</v>
      </c>
      <c r="D122" s="14" t="s">
        <v>128</v>
      </c>
      <c r="E122" s="14" t="s">
        <v>215</v>
      </c>
      <c r="F122" s="14" t="s">
        <v>181</v>
      </c>
      <c r="G122" s="14" t="n">
        <v>19805</v>
      </c>
      <c r="H122" s="14" t="s">
        <v>166</v>
      </c>
      <c r="I122" s="14" t="s">
        <v>137</v>
      </c>
      <c r="J122" s="14" t="s">
        <v>146</v>
      </c>
      <c r="K122" s="15" t="n">
        <v>30.84</v>
      </c>
      <c r="L122" s="14" t="n">
        <v>4</v>
      </c>
      <c r="M122" s="16" t="n">
        <v>0</v>
      </c>
      <c r="N122" s="15" t="n">
        <v>13.878</v>
      </c>
      <c r="O122" s="17" t="str">
        <f aca="false">UPPER(LEFT(F122,3))&amp;"-"&amp;G122</f>
        <v>DEL-19805</v>
      </c>
      <c r="P122" s="17" t="str">
        <f aca="false">PROPER(TRIM(E122))</f>
        <v>Wilmington</v>
      </c>
      <c r="Q122" s="17" t="str">
        <f aca="false">IFERROR(VLOOKUP(F122,Lookups!$A$2:$B$50,2,FALSE()),"Not found")</f>
        <v>East</v>
      </c>
      <c r="R122" s="17" t="str">
        <f aca="false">IF(Q122=H122,"Match","Mismatch")</f>
        <v>Match</v>
      </c>
      <c r="S122" s="17" t="str">
        <f aca="false">IFERROR(INDEX(SubCatCat,MATCH(J122,SubCatName,0)),"Not found")</f>
        <v>Office Supplies</v>
      </c>
      <c r="T122" s="18" t="n">
        <f aca="false">IF(K122=0,0,N122/K122)</f>
        <v>0.45</v>
      </c>
      <c r="U122" s="17" t="str">
        <f aca="false">IF(N122&lt;0,"Loss",IF(T122&gt;=0.2,"High margin","Normal"))</f>
        <v>High margin</v>
      </c>
      <c r="V122" s="17" t="str">
        <f aca="false">IF(M122=0,"No discount",IF(M122&lt;=0.2,"Low",IF(M122&lt;=0.4,"Medium","High")))</f>
        <v>No discount</v>
      </c>
      <c r="W122" s="17" t="str">
        <f aca="false">IF(OR(B122="Same Day",B122="First Class"),"Fast","Standard")</f>
        <v>Fast</v>
      </c>
      <c r="X122" s="19" t="n">
        <f aca="false">ROUND(K122/L122,2)</f>
        <v>7.71</v>
      </c>
    </row>
    <row r="123" customFormat="false" ht="15" hidden="false" customHeight="false" outlineLevel="0" collapsed="false">
      <c r="A123" s="14" t="n">
        <v>122</v>
      </c>
      <c r="B123" s="14" t="s">
        <v>171</v>
      </c>
      <c r="C123" s="14" t="s">
        <v>7</v>
      </c>
      <c r="D123" s="14" t="s">
        <v>128</v>
      </c>
      <c r="E123" s="14" t="s">
        <v>215</v>
      </c>
      <c r="F123" s="14" t="s">
        <v>181</v>
      </c>
      <c r="G123" s="14" t="n">
        <v>19805</v>
      </c>
      <c r="H123" s="14" t="s">
        <v>166</v>
      </c>
      <c r="I123" s="14" t="s">
        <v>137</v>
      </c>
      <c r="J123" s="14" t="s">
        <v>143</v>
      </c>
      <c r="K123" s="15" t="n">
        <v>226.56</v>
      </c>
      <c r="L123" s="14" t="n">
        <v>6</v>
      </c>
      <c r="M123" s="16" t="n">
        <v>0</v>
      </c>
      <c r="N123" s="15" t="n">
        <v>63.4368</v>
      </c>
      <c r="O123" s="17" t="str">
        <f aca="false">UPPER(LEFT(F123,3))&amp;"-"&amp;G123</f>
        <v>DEL-19805</v>
      </c>
      <c r="P123" s="17" t="str">
        <f aca="false">PROPER(TRIM(E123))</f>
        <v>Wilmington</v>
      </c>
      <c r="Q123" s="17" t="str">
        <f aca="false">IFERROR(VLOOKUP(F123,Lookups!$A$2:$B$50,2,FALSE()),"Not found")</f>
        <v>East</v>
      </c>
      <c r="R123" s="17" t="str">
        <f aca="false">IF(Q123=H123,"Match","Mismatch")</f>
        <v>Match</v>
      </c>
      <c r="S123" s="17" t="str">
        <f aca="false">IFERROR(INDEX(SubCatCat,MATCH(J123,SubCatName,0)),"Not found")</f>
        <v>Office Supplies</v>
      </c>
      <c r="T123" s="18" t="n">
        <f aca="false">IF(K123=0,0,N123/K123)</f>
        <v>0.28</v>
      </c>
      <c r="U123" s="17" t="str">
        <f aca="false">IF(N123&lt;0,"Loss",IF(T123&gt;=0.2,"High margin","Normal"))</f>
        <v>High margin</v>
      </c>
      <c r="V123" s="17" t="str">
        <f aca="false">IF(M123=0,"No discount",IF(M123&lt;=0.2,"Low",IF(M123&lt;=0.4,"Medium","High")))</f>
        <v>No discount</v>
      </c>
      <c r="W123" s="17" t="str">
        <f aca="false">IF(OR(B123="Same Day",B123="First Class"),"Fast","Standard")</f>
        <v>Fast</v>
      </c>
      <c r="X123" s="19" t="n">
        <f aca="false">ROUND(K123/L123,2)</f>
        <v>37.76</v>
      </c>
    </row>
    <row r="124" customFormat="false" ht="15" hidden="false" customHeight="false" outlineLevel="0" collapsed="false">
      <c r="A124" s="14" t="n">
        <v>123</v>
      </c>
      <c r="B124" s="14" t="s">
        <v>171</v>
      </c>
      <c r="C124" s="14" t="s">
        <v>7</v>
      </c>
      <c r="D124" s="14" t="s">
        <v>128</v>
      </c>
      <c r="E124" s="14" t="s">
        <v>215</v>
      </c>
      <c r="F124" s="14" t="s">
        <v>181</v>
      </c>
      <c r="G124" s="14" t="n">
        <v>19805</v>
      </c>
      <c r="H124" s="14" t="s">
        <v>166</v>
      </c>
      <c r="I124" s="14" t="s">
        <v>137</v>
      </c>
      <c r="J124" s="14" t="s">
        <v>169</v>
      </c>
      <c r="K124" s="15" t="n">
        <v>115.02</v>
      </c>
      <c r="L124" s="14" t="n">
        <v>9</v>
      </c>
      <c r="M124" s="16" t="n">
        <v>0</v>
      </c>
      <c r="N124" s="15" t="n">
        <v>51.759</v>
      </c>
      <c r="O124" s="17" t="str">
        <f aca="false">UPPER(LEFT(F124,3))&amp;"-"&amp;G124</f>
        <v>DEL-19805</v>
      </c>
      <c r="P124" s="17" t="str">
        <f aca="false">PROPER(TRIM(E124))</f>
        <v>Wilmington</v>
      </c>
      <c r="Q124" s="17" t="str">
        <f aca="false">IFERROR(VLOOKUP(F124,Lookups!$A$2:$B$50,2,FALSE()),"Not found")</f>
        <v>East</v>
      </c>
      <c r="R124" s="17" t="str">
        <f aca="false">IF(Q124=H124,"Match","Mismatch")</f>
        <v>Match</v>
      </c>
      <c r="S124" s="17" t="str">
        <f aca="false">IFERROR(INDEX(SubCatCat,MATCH(J124,SubCatName,0)),"Not found")</f>
        <v>Office Supplies</v>
      </c>
      <c r="T124" s="18" t="n">
        <f aca="false">IF(K124=0,0,N124/K124)</f>
        <v>0.45</v>
      </c>
      <c r="U124" s="17" t="str">
        <f aca="false">IF(N124&lt;0,"Loss",IF(T124&gt;=0.2,"High margin","Normal"))</f>
        <v>High margin</v>
      </c>
      <c r="V124" s="17" t="str">
        <f aca="false">IF(M124=0,"No discount",IF(M124&lt;=0.2,"Low",IF(M124&lt;=0.4,"Medium","High")))</f>
        <v>No discount</v>
      </c>
      <c r="W124" s="17" t="str">
        <f aca="false">IF(OR(B124="Same Day",B124="First Class"),"Fast","Standard")</f>
        <v>Fast</v>
      </c>
      <c r="X124" s="19" t="n">
        <f aca="false">ROUND(K124/L124,2)</f>
        <v>12.78</v>
      </c>
    </row>
    <row r="125" customFormat="false" ht="15" hidden="false" customHeight="false" outlineLevel="0" collapsed="false">
      <c r="A125" s="14" t="n">
        <v>124</v>
      </c>
      <c r="B125" s="14" t="s">
        <v>171</v>
      </c>
      <c r="C125" s="14" t="s">
        <v>7</v>
      </c>
      <c r="D125" s="14" t="s">
        <v>128</v>
      </c>
      <c r="E125" s="14" t="s">
        <v>215</v>
      </c>
      <c r="F125" s="14" t="s">
        <v>181</v>
      </c>
      <c r="G125" s="14" t="n">
        <v>19805</v>
      </c>
      <c r="H125" s="14" t="s">
        <v>166</v>
      </c>
      <c r="I125" s="14" t="s">
        <v>5</v>
      </c>
      <c r="J125" s="14" t="s">
        <v>11</v>
      </c>
      <c r="K125" s="15" t="n">
        <v>68.04</v>
      </c>
      <c r="L125" s="14" t="n">
        <v>7</v>
      </c>
      <c r="M125" s="16" t="n">
        <v>0</v>
      </c>
      <c r="N125" s="15" t="n">
        <v>19.7316</v>
      </c>
      <c r="O125" s="17" t="str">
        <f aca="false">UPPER(LEFT(F125,3))&amp;"-"&amp;G125</f>
        <v>DEL-19805</v>
      </c>
      <c r="P125" s="17" t="str">
        <f aca="false">PROPER(TRIM(E125))</f>
        <v>Wilmington</v>
      </c>
      <c r="Q125" s="17" t="str">
        <f aca="false">IFERROR(VLOOKUP(F125,Lookups!$A$2:$B$50,2,FALSE()),"Not found")</f>
        <v>East</v>
      </c>
      <c r="R125" s="17" t="str">
        <f aca="false">IF(Q125=H125,"Match","Mismatch")</f>
        <v>Match</v>
      </c>
      <c r="S125" s="17" t="str">
        <f aca="false">IFERROR(INDEX(SubCatCat,MATCH(J125,SubCatName,0)),"Not found")</f>
        <v>Technology</v>
      </c>
      <c r="T125" s="18" t="n">
        <f aca="false">IF(K125=0,0,N125/K125)</f>
        <v>0.29</v>
      </c>
      <c r="U125" s="17" t="str">
        <f aca="false">IF(N125&lt;0,"Loss",IF(T125&gt;=0.2,"High margin","Normal"))</f>
        <v>High margin</v>
      </c>
      <c r="V125" s="17" t="str">
        <f aca="false">IF(M125=0,"No discount",IF(M125&lt;=0.2,"Low",IF(M125&lt;=0.4,"Medium","High")))</f>
        <v>No discount</v>
      </c>
      <c r="W125" s="17" t="str">
        <f aca="false">IF(OR(B125="Same Day",B125="First Class"),"Fast","Standard")</f>
        <v>Fast</v>
      </c>
      <c r="X125" s="19" t="n">
        <f aca="false">ROUND(K125/L125,2)</f>
        <v>9.72</v>
      </c>
    </row>
    <row r="126" customFormat="false" ht="15" hidden="false" customHeight="false" outlineLevel="0" collapsed="false">
      <c r="A126" s="14" t="n">
        <v>125</v>
      </c>
      <c r="B126" s="14" t="s">
        <v>127</v>
      </c>
      <c r="C126" s="14" t="s">
        <v>153</v>
      </c>
      <c r="D126" s="14" t="s">
        <v>128</v>
      </c>
      <c r="E126" s="14" t="s">
        <v>170</v>
      </c>
      <c r="F126" s="14" t="s">
        <v>155</v>
      </c>
      <c r="G126" s="14" t="n">
        <v>77041</v>
      </c>
      <c r="H126" s="14" t="s">
        <v>156</v>
      </c>
      <c r="I126" s="14" t="s">
        <v>132</v>
      </c>
      <c r="J126" s="14" t="s">
        <v>134</v>
      </c>
      <c r="K126" s="15" t="n">
        <v>600.558</v>
      </c>
      <c r="L126" s="14" t="n">
        <v>3</v>
      </c>
      <c r="M126" s="16" t="n">
        <v>0.3</v>
      </c>
      <c r="N126" s="15" t="n">
        <v>-8.5794</v>
      </c>
      <c r="O126" s="17" t="str">
        <f aca="false">UPPER(LEFT(F126,3))&amp;"-"&amp;G126</f>
        <v>TEX-77041</v>
      </c>
      <c r="P126" s="17" t="str">
        <f aca="false">PROPER(TRIM(E126))</f>
        <v>Houston</v>
      </c>
      <c r="Q126" s="17" t="str">
        <f aca="false">IFERROR(VLOOKUP(F126,Lookups!$A$2:$B$50,2,FALSE()),"Not found")</f>
        <v>Central</v>
      </c>
      <c r="R126" s="17" t="str">
        <f aca="false">IF(Q126=H126,"Match","Mismatch")</f>
        <v>Match</v>
      </c>
      <c r="S126" s="17" t="str">
        <f aca="false">IFERROR(INDEX(SubCatCat,MATCH(J126,SubCatName,0)),"Not found")</f>
        <v>Furniture</v>
      </c>
      <c r="T126" s="18" t="n">
        <f aca="false">IF(K126=0,0,N126/K126)</f>
        <v>-0.0142857142857143</v>
      </c>
      <c r="U126" s="17" t="str">
        <f aca="false">IF(N126&lt;0,"Loss",IF(T126&gt;=0.2,"High margin","Normal"))</f>
        <v>Loss</v>
      </c>
      <c r="V126" s="17" t="str">
        <f aca="false">IF(M126=0,"No discount",IF(M126&lt;=0.2,"Low",IF(M126&lt;=0.4,"Medium","High")))</f>
        <v>Medium</v>
      </c>
      <c r="W126" s="17" t="str">
        <f aca="false">IF(OR(B126="Same Day",B126="First Class"),"Fast","Standard")</f>
        <v>Standard</v>
      </c>
      <c r="X126" s="19" t="n">
        <f aca="false">ROUND(K126/L126,2)</f>
        <v>200.19</v>
      </c>
    </row>
    <row r="127" customFormat="false" ht="15" hidden="false" customHeight="false" outlineLevel="0" collapsed="false">
      <c r="A127" s="14" t="n">
        <v>126</v>
      </c>
      <c r="B127" s="14" t="s">
        <v>139</v>
      </c>
      <c r="C127" s="14" t="s">
        <v>7</v>
      </c>
      <c r="D127" s="14" t="s">
        <v>128</v>
      </c>
      <c r="E127" s="14" t="s">
        <v>216</v>
      </c>
      <c r="F127" s="14" t="s">
        <v>174</v>
      </c>
      <c r="G127" s="14" t="n">
        <v>61701</v>
      </c>
      <c r="H127" s="14" t="s">
        <v>156</v>
      </c>
      <c r="I127" s="14" t="s">
        <v>132</v>
      </c>
      <c r="J127" s="14" t="s">
        <v>142</v>
      </c>
      <c r="K127" s="15" t="n">
        <v>617.7</v>
      </c>
      <c r="L127" s="14" t="n">
        <v>6</v>
      </c>
      <c r="M127" s="16" t="n">
        <v>0.5</v>
      </c>
      <c r="N127" s="15" t="n">
        <v>-407.682</v>
      </c>
      <c r="O127" s="17" t="str">
        <f aca="false">UPPER(LEFT(F127,3))&amp;"-"&amp;G127</f>
        <v>ILL-61701</v>
      </c>
      <c r="P127" s="17" t="str">
        <f aca="false">PROPER(TRIM(E127))</f>
        <v>Bloomington</v>
      </c>
      <c r="Q127" s="17" t="str">
        <f aca="false">IFERROR(VLOOKUP(F127,Lookups!$A$2:$B$50,2,FALSE()),"Not found")</f>
        <v>Central</v>
      </c>
      <c r="R127" s="17" t="str">
        <f aca="false">IF(Q127=H127,"Match","Mismatch")</f>
        <v>Match</v>
      </c>
      <c r="S127" s="17" t="str">
        <f aca="false">IFERROR(INDEX(SubCatCat,MATCH(J127,SubCatName,0)),"Not found")</f>
        <v>Furniture</v>
      </c>
      <c r="T127" s="18" t="n">
        <f aca="false">IF(K127=0,0,N127/K127)</f>
        <v>-0.66</v>
      </c>
      <c r="U127" s="17" t="str">
        <f aca="false">IF(N127&lt;0,"Loss",IF(T127&gt;=0.2,"High margin","Normal"))</f>
        <v>Loss</v>
      </c>
      <c r="V127" s="17" t="str">
        <f aca="false">IF(M127=0,"No discount",IF(M127&lt;=0.2,"Low",IF(M127&lt;=0.4,"Medium","High")))</f>
        <v>High</v>
      </c>
      <c r="W127" s="17" t="str">
        <f aca="false">IF(OR(B127="Same Day",B127="First Class"),"Fast","Standard")</f>
        <v>Standard</v>
      </c>
      <c r="X127" s="19" t="n">
        <f aca="false">ROUND(K127/L127,2)</f>
        <v>102.95</v>
      </c>
    </row>
    <row r="128" customFormat="false" ht="15" hidden="false" customHeight="false" outlineLevel="0" collapsed="false">
      <c r="A128" s="14" t="n">
        <v>127</v>
      </c>
      <c r="B128" s="14" t="s">
        <v>139</v>
      </c>
      <c r="C128" s="14" t="s">
        <v>7</v>
      </c>
      <c r="D128" s="14" t="s">
        <v>128</v>
      </c>
      <c r="E128" s="14" t="s">
        <v>217</v>
      </c>
      <c r="F128" s="14" t="s">
        <v>190</v>
      </c>
      <c r="G128" s="14" t="n">
        <v>85023</v>
      </c>
      <c r="H128" s="14" t="s">
        <v>3</v>
      </c>
      <c r="I128" s="14" t="s">
        <v>137</v>
      </c>
      <c r="J128" s="14" t="s">
        <v>146</v>
      </c>
      <c r="K128" s="15" t="n">
        <v>2.388</v>
      </c>
      <c r="L128" s="14" t="n">
        <v>2</v>
      </c>
      <c r="M128" s="16" t="n">
        <v>0.7</v>
      </c>
      <c r="N128" s="15" t="n">
        <v>-1.8308</v>
      </c>
      <c r="O128" s="17" t="str">
        <f aca="false">UPPER(LEFT(F128,3))&amp;"-"&amp;G128</f>
        <v>ARI-85023</v>
      </c>
      <c r="P128" s="17" t="str">
        <f aca="false">PROPER(TRIM(E128))</f>
        <v>Phoenix</v>
      </c>
      <c r="Q128" s="17" t="str">
        <f aca="false">IFERROR(VLOOKUP(F128,Lookups!$A$2:$B$50,2,FALSE()),"Not found")</f>
        <v>West</v>
      </c>
      <c r="R128" s="17" t="str">
        <f aca="false">IF(Q128=H128,"Match","Mismatch")</f>
        <v>Match</v>
      </c>
      <c r="S128" s="17" t="str">
        <f aca="false">IFERROR(INDEX(SubCatCat,MATCH(J128,SubCatName,0)),"Not found")</f>
        <v>Office Supplies</v>
      </c>
      <c r="T128" s="18" t="n">
        <f aca="false">IF(K128=0,0,N128/K128)</f>
        <v>-0.766666666666667</v>
      </c>
      <c r="U128" s="17" t="str">
        <f aca="false">IF(N128&lt;0,"Loss",IF(T128&gt;=0.2,"High margin","Normal"))</f>
        <v>Loss</v>
      </c>
      <c r="V128" s="17" t="str">
        <f aca="false">IF(M128=0,"No discount",IF(M128&lt;=0.2,"Low",IF(M128&lt;=0.4,"Medium","High")))</f>
        <v>High</v>
      </c>
      <c r="W128" s="17" t="str">
        <f aca="false">IF(OR(B128="Same Day",B128="First Class"),"Fast","Standard")</f>
        <v>Standard</v>
      </c>
      <c r="X128" s="19" t="n">
        <f aca="false">ROUND(K128/L128,2)</f>
        <v>1.19</v>
      </c>
    </row>
    <row r="129" customFormat="false" ht="15" hidden="false" customHeight="false" outlineLevel="0" collapsed="false">
      <c r="A129" s="14" t="n">
        <v>128</v>
      </c>
      <c r="B129" s="14" t="s">
        <v>139</v>
      </c>
      <c r="C129" s="14" t="s">
        <v>7</v>
      </c>
      <c r="D129" s="14" t="s">
        <v>128</v>
      </c>
      <c r="E129" s="14" t="s">
        <v>217</v>
      </c>
      <c r="F129" s="14" t="s">
        <v>190</v>
      </c>
      <c r="G129" s="14" t="n">
        <v>85023</v>
      </c>
      <c r="H129" s="14" t="s">
        <v>3</v>
      </c>
      <c r="I129" s="14" t="s">
        <v>137</v>
      </c>
      <c r="J129" s="14" t="s">
        <v>143</v>
      </c>
      <c r="K129" s="15" t="n">
        <v>243.992</v>
      </c>
      <c r="L129" s="14" t="n">
        <v>7</v>
      </c>
      <c r="M129" s="16" t="n">
        <v>0.2</v>
      </c>
      <c r="N129" s="15" t="n">
        <v>30.499</v>
      </c>
      <c r="O129" s="17" t="str">
        <f aca="false">UPPER(LEFT(F129,3))&amp;"-"&amp;G129</f>
        <v>ARI-85023</v>
      </c>
      <c r="P129" s="17" t="str">
        <f aca="false">PROPER(TRIM(E129))</f>
        <v>Phoenix</v>
      </c>
      <c r="Q129" s="17" t="str">
        <f aca="false">IFERROR(VLOOKUP(F129,Lookups!$A$2:$B$50,2,FALSE()),"Not found")</f>
        <v>West</v>
      </c>
      <c r="R129" s="17" t="str">
        <f aca="false">IF(Q129=H129,"Match","Mismatch")</f>
        <v>Match</v>
      </c>
      <c r="S129" s="17" t="str">
        <f aca="false">IFERROR(INDEX(SubCatCat,MATCH(J129,SubCatName,0)),"Not found")</f>
        <v>Office Supplies</v>
      </c>
      <c r="T129" s="18" t="n">
        <f aca="false">IF(K129=0,0,N129/K129)</f>
        <v>0.125</v>
      </c>
      <c r="U129" s="17" t="str">
        <f aca="false">IF(N129&lt;0,"Loss",IF(T129&gt;=0.2,"High margin","Normal"))</f>
        <v>Normal</v>
      </c>
      <c r="V129" s="17" t="str">
        <f aca="false">IF(M129=0,"No discount",IF(M129&lt;=0.2,"Low",IF(M129&lt;=0.4,"Medium","High")))</f>
        <v>Low</v>
      </c>
      <c r="W129" s="17" t="str">
        <f aca="false">IF(OR(B129="Same Day",B129="First Class"),"Fast","Standard")</f>
        <v>Standard</v>
      </c>
      <c r="X129" s="19" t="n">
        <f aca="false">ROUND(K129/L129,2)</f>
        <v>34.86</v>
      </c>
    </row>
    <row r="130" customFormat="false" ht="15" hidden="false" customHeight="false" outlineLevel="0" collapsed="false">
      <c r="A130" s="14" t="n">
        <v>129</v>
      </c>
      <c r="B130" s="14" t="s">
        <v>127</v>
      </c>
      <c r="C130" s="14" t="s">
        <v>153</v>
      </c>
      <c r="D130" s="14" t="s">
        <v>128</v>
      </c>
      <c r="E130" s="14" t="s">
        <v>136</v>
      </c>
      <c r="F130" s="14" t="s">
        <v>9</v>
      </c>
      <c r="G130" s="14" t="n">
        <v>90004</v>
      </c>
      <c r="H130" s="14" t="s">
        <v>3</v>
      </c>
      <c r="I130" s="14" t="s">
        <v>132</v>
      </c>
      <c r="J130" s="14" t="s">
        <v>134</v>
      </c>
      <c r="K130" s="15" t="n">
        <v>81.424</v>
      </c>
      <c r="L130" s="14" t="n">
        <v>2</v>
      </c>
      <c r="M130" s="16" t="n">
        <v>0.2</v>
      </c>
      <c r="N130" s="15" t="n">
        <v>-9.1602</v>
      </c>
      <c r="O130" s="17" t="str">
        <f aca="false">UPPER(LEFT(F130,3))&amp;"-"&amp;G130</f>
        <v>CAL-90004</v>
      </c>
      <c r="P130" s="17" t="str">
        <f aca="false">PROPER(TRIM(E130))</f>
        <v>Los Angeles</v>
      </c>
      <c r="Q130" s="17" t="str">
        <f aca="false">IFERROR(VLOOKUP(F130,Lookups!$A$2:$B$50,2,FALSE()),"Not found")</f>
        <v>West</v>
      </c>
      <c r="R130" s="17" t="str">
        <f aca="false">IF(Q130=H130,"Match","Mismatch")</f>
        <v>Match</v>
      </c>
      <c r="S130" s="17" t="str">
        <f aca="false">IFERROR(INDEX(SubCatCat,MATCH(J130,SubCatName,0)),"Not found")</f>
        <v>Furniture</v>
      </c>
      <c r="T130" s="18" t="n">
        <f aca="false">IF(K130=0,0,N130/K130)</f>
        <v>-0.1125</v>
      </c>
      <c r="U130" s="17" t="str">
        <f aca="false">IF(N130&lt;0,"Loss",IF(T130&gt;=0.2,"High margin","Normal"))</f>
        <v>Loss</v>
      </c>
      <c r="V130" s="17" t="str">
        <f aca="false">IF(M130=0,"No discount",IF(M130&lt;=0.2,"Low",IF(M130&lt;=0.4,"Medium","High")))</f>
        <v>Low</v>
      </c>
      <c r="W130" s="17" t="str">
        <f aca="false">IF(OR(B130="Same Day",B130="First Class"),"Fast","Standard")</f>
        <v>Standard</v>
      </c>
      <c r="X130" s="19" t="n">
        <f aca="false">ROUND(K130/L130,2)</f>
        <v>40.71</v>
      </c>
    </row>
    <row r="131" customFormat="false" ht="15" hidden="false" customHeight="false" outlineLevel="0" collapsed="false">
      <c r="A131" s="14" t="n">
        <v>130</v>
      </c>
      <c r="B131" s="14" t="s">
        <v>127</v>
      </c>
      <c r="C131" s="14" t="s">
        <v>153</v>
      </c>
      <c r="D131" s="14" t="s">
        <v>128</v>
      </c>
      <c r="E131" s="14" t="s">
        <v>136</v>
      </c>
      <c r="F131" s="14" t="s">
        <v>9</v>
      </c>
      <c r="G131" s="14" t="n">
        <v>90004</v>
      </c>
      <c r="H131" s="14" t="s">
        <v>3</v>
      </c>
      <c r="I131" s="14" t="s">
        <v>132</v>
      </c>
      <c r="J131" s="14" t="s">
        <v>144</v>
      </c>
      <c r="K131" s="15" t="n">
        <v>238.56</v>
      </c>
      <c r="L131" s="14" t="n">
        <v>3</v>
      </c>
      <c r="M131" s="16" t="n">
        <v>0</v>
      </c>
      <c r="N131" s="15" t="n">
        <v>26.2416</v>
      </c>
      <c r="O131" s="17" t="str">
        <f aca="false">UPPER(LEFT(F131,3))&amp;"-"&amp;G131</f>
        <v>CAL-90004</v>
      </c>
      <c r="P131" s="17" t="str">
        <f aca="false">PROPER(TRIM(E131))</f>
        <v>Los Angeles</v>
      </c>
      <c r="Q131" s="17" t="str">
        <f aca="false">IFERROR(VLOOKUP(F131,Lookups!$A$2:$B$50,2,FALSE()),"Not found")</f>
        <v>West</v>
      </c>
      <c r="R131" s="17" t="str">
        <f aca="false">IF(Q131=H131,"Match","Mismatch")</f>
        <v>Match</v>
      </c>
      <c r="S131" s="17" t="str">
        <f aca="false">IFERROR(INDEX(SubCatCat,MATCH(J131,SubCatName,0)),"Not found")</f>
        <v>Furniture</v>
      </c>
      <c r="T131" s="18" t="n">
        <f aca="false">IF(K131=0,0,N131/K131)</f>
        <v>0.11</v>
      </c>
      <c r="U131" s="17" t="str">
        <f aca="false">IF(N131&lt;0,"Loss",IF(T131&gt;=0.2,"High margin","Normal"))</f>
        <v>Normal</v>
      </c>
      <c r="V131" s="17" t="str">
        <f aca="false">IF(M131=0,"No discount",IF(M131&lt;=0.2,"Low",IF(M131&lt;=0.4,"Medium","High")))</f>
        <v>No discount</v>
      </c>
      <c r="W131" s="17" t="str">
        <f aca="false">IF(OR(B131="Same Day",B131="First Class"),"Fast","Standard")</f>
        <v>Standard</v>
      </c>
      <c r="X131" s="19" t="n">
        <f aca="false">ROUND(K131/L131,2)</f>
        <v>79.52</v>
      </c>
    </row>
    <row r="132" customFormat="false" ht="15" hidden="false" customHeight="false" outlineLevel="0" collapsed="false">
      <c r="A132" s="14" t="n">
        <v>131</v>
      </c>
      <c r="B132" s="14" t="s">
        <v>171</v>
      </c>
      <c r="C132" s="14" t="s">
        <v>135</v>
      </c>
      <c r="D132" s="14" t="s">
        <v>128</v>
      </c>
      <c r="E132" s="14" t="s">
        <v>212</v>
      </c>
      <c r="F132" s="14" t="s">
        <v>213</v>
      </c>
      <c r="G132" s="14" t="n">
        <v>43229</v>
      </c>
      <c r="H132" s="14" t="s">
        <v>166</v>
      </c>
      <c r="I132" s="14" t="s">
        <v>5</v>
      </c>
      <c r="J132" s="14" t="s">
        <v>11</v>
      </c>
      <c r="K132" s="15" t="n">
        <v>59.97</v>
      </c>
      <c r="L132" s="14" t="n">
        <v>5</v>
      </c>
      <c r="M132" s="16" t="n">
        <v>0.4</v>
      </c>
      <c r="N132" s="15" t="n">
        <v>-11.994</v>
      </c>
      <c r="O132" s="17" t="str">
        <f aca="false">UPPER(LEFT(F132,3))&amp;"-"&amp;G132</f>
        <v>OHI-43229</v>
      </c>
      <c r="P132" s="17" t="str">
        <f aca="false">PROPER(TRIM(E132))</f>
        <v>Columbus</v>
      </c>
      <c r="Q132" s="17" t="str">
        <f aca="false">IFERROR(VLOOKUP(F132,Lookups!$A$2:$B$50,2,FALSE()),"Not found")</f>
        <v>East</v>
      </c>
      <c r="R132" s="17" t="str">
        <f aca="false">IF(Q132=H132,"Match","Mismatch")</f>
        <v>Match</v>
      </c>
      <c r="S132" s="17" t="str">
        <f aca="false">IFERROR(INDEX(SubCatCat,MATCH(J132,SubCatName,0)),"Not found")</f>
        <v>Technology</v>
      </c>
      <c r="T132" s="18" t="n">
        <f aca="false">IF(K132=0,0,N132/K132)</f>
        <v>-0.2</v>
      </c>
      <c r="U132" s="17" t="str">
        <f aca="false">IF(N132&lt;0,"Loss",IF(T132&gt;=0.2,"High margin","Normal"))</f>
        <v>Loss</v>
      </c>
      <c r="V132" s="17" t="str">
        <f aca="false">IF(M132=0,"No discount",IF(M132&lt;=0.2,"Low",IF(M132&lt;=0.4,"Medium","High")))</f>
        <v>Medium</v>
      </c>
      <c r="W132" s="17" t="str">
        <f aca="false">IF(OR(B132="Same Day",B132="First Class"),"Fast","Standard")</f>
        <v>Fast</v>
      </c>
      <c r="X132" s="19" t="n">
        <f aca="false">ROUND(K132/L132,2)</f>
        <v>11.99</v>
      </c>
    </row>
    <row r="133" customFormat="false" ht="15" hidden="false" customHeight="false" outlineLevel="0" collapsed="false">
      <c r="A133" s="14" t="n">
        <v>132</v>
      </c>
      <c r="B133" s="14" t="s">
        <v>171</v>
      </c>
      <c r="C133" s="14" t="s">
        <v>135</v>
      </c>
      <c r="D133" s="14" t="s">
        <v>128</v>
      </c>
      <c r="E133" s="14" t="s">
        <v>212</v>
      </c>
      <c r="F133" s="14" t="s">
        <v>213</v>
      </c>
      <c r="G133" s="14" t="n">
        <v>43229</v>
      </c>
      <c r="H133" s="14" t="s">
        <v>166</v>
      </c>
      <c r="I133" s="14" t="s">
        <v>137</v>
      </c>
      <c r="J133" s="14" t="s">
        <v>150</v>
      </c>
      <c r="K133" s="15" t="n">
        <v>78.304</v>
      </c>
      <c r="L133" s="14" t="n">
        <v>2</v>
      </c>
      <c r="M133" s="16" t="n">
        <v>0.2</v>
      </c>
      <c r="N133" s="15" t="n">
        <v>29.364</v>
      </c>
      <c r="O133" s="17" t="str">
        <f aca="false">UPPER(LEFT(F133,3))&amp;"-"&amp;G133</f>
        <v>OHI-43229</v>
      </c>
      <c r="P133" s="17" t="str">
        <f aca="false">PROPER(TRIM(E133))</f>
        <v>Columbus</v>
      </c>
      <c r="Q133" s="17" t="str">
        <f aca="false">IFERROR(VLOOKUP(F133,Lookups!$A$2:$B$50,2,FALSE()),"Not found")</f>
        <v>East</v>
      </c>
      <c r="R133" s="17" t="str">
        <f aca="false">IF(Q133=H133,"Match","Mismatch")</f>
        <v>Match</v>
      </c>
      <c r="S133" s="17" t="str">
        <f aca="false">IFERROR(INDEX(SubCatCat,MATCH(J133,SubCatName,0)),"Not found")</f>
        <v>Office Supplies</v>
      </c>
      <c r="T133" s="18" t="n">
        <f aca="false">IF(K133=0,0,N133/K133)</f>
        <v>0.375</v>
      </c>
      <c r="U133" s="17" t="str">
        <f aca="false">IF(N133&lt;0,"Loss",IF(T133&gt;=0.2,"High margin","Normal"))</f>
        <v>High margin</v>
      </c>
      <c r="V133" s="17" t="str">
        <f aca="false">IF(M133=0,"No discount",IF(M133&lt;=0.2,"Low",IF(M133&lt;=0.4,"Medium","High")))</f>
        <v>Low</v>
      </c>
      <c r="W133" s="17" t="str">
        <f aca="false">IF(OR(B133="Same Day",B133="First Class"),"Fast","Standard")</f>
        <v>Fast</v>
      </c>
      <c r="X133" s="19" t="n">
        <f aca="false">ROUND(K133/L133,2)</f>
        <v>39.15</v>
      </c>
    </row>
    <row r="134" customFormat="false" ht="15" hidden="false" customHeight="false" outlineLevel="0" collapsed="false">
      <c r="A134" s="14" t="n">
        <v>133</v>
      </c>
      <c r="B134" s="14" t="s">
        <v>171</v>
      </c>
      <c r="C134" s="14" t="s">
        <v>135</v>
      </c>
      <c r="D134" s="14" t="s">
        <v>128</v>
      </c>
      <c r="E134" s="14" t="s">
        <v>212</v>
      </c>
      <c r="F134" s="14" t="s">
        <v>213</v>
      </c>
      <c r="G134" s="14" t="n">
        <v>43229</v>
      </c>
      <c r="H134" s="14" t="s">
        <v>166</v>
      </c>
      <c r="I134" s="14" t="s">
        <v>137</v>
      </c>
      <c r="J134" s="14" t="s">
        <v>186</v>
      </c>
      <c r="K134" s="15" t="n">
        <v>21.456</v>
      </c>
      <c r="L134" s="14" t="n">
        <v>9</v>
      </c>
      <c r="M134" s="16" t="n">
        <v>0.2</v>
      </c>
      <c r="N134" s="15" t="n">
        <v>6.9732</v>
      </c>
      <c r="O134" s="17" t="str">
        <f aca="false">UPPER(LEFT(F134,3))&amp;"-"&amp;G134</f>
        <v>OHI-43229</v>
      </c>
      <c r="P134" s="17" t="str">
        <f aca="false">PROPER(TRIM(E134))</f>
        <v>Columbus</v>
      </c>
      <c r="Q134" s="17" t="str">
        <f aca="false">IFERROR(VLOOKUP(F134,Lookups!$A$2:$B$50,2,FALSE()),"Not found")</f>
        <v>East</v>
      </c>
      <c r="R134" s="17" t="str">
        <f aca="false">IF(Q134=H134,"Match","Mismatch")</f>
        <v>Match</v>
      </c>
      <c r="S134" s="17" t="str">
        <f aca="false">IFERROR(INDEX(SubCatCat,MATCH(J134,SubCatName,0)),"Not found")</f>
        <v>Office Supplies</v>
      </c>
      <c r="T134" s="18" t="n">
        <f aca="false">IF(K134=0,0,N134/K134)</f>
        <v>0.325</v>
      </c>
      <c r="U134" s="17" t="str">
        <f aca="false">IF(N134&lt;0,"Loss",IF(T134&gt;=0.2,"High margin","Normal"))</f>
        <v>High margin</v>
      </c>
      <c r="V134" s="17" t="str">
        <f aca="false">IF(M134=0,"No discount",IF(M134&lt;=0.2,"Low",IF(M134&lt;=0.4,"Medium","High")))</f>
        <v>Low</v>
      </c>
      <c r="W134" s="17" t="str">
        <f aca="false">IF(OR(B134="Same Day",B134="First Class"),"Fast","Standard")</f>
        <v>Fast</v>
      </c>
      <c r="X134" s="19" t="n">
        <f aca="false">ROUND(K134/L134,2)</f>
        <v>2.38</v>
      </c>
    </row>
    <row r="135" customFormat="false" ht="15" hidden="false" customHeight="false" outlineLevel="0" collapsed="false">
      <c r="A135" s="14" t="n">
        <v>134</v>
      </c>
      <c r="B135" s="14" t="s">
        <v>139</v>
      </c>
      <c r="C135" s="14" t="s">
        <v>7</v>
      </c>
      <c r="D135" s="14" t="s">
        <v>128</v>
      </c>
      <c r="E135" s="14" t="s">
        <v>218</v>
      </c>
      <c r="F135" s="14" t="s">
        <v>9</v>
      </c>
      <c r="G135" s="14" t="n">
        <v>95661</v>
      </c>
      <c r="H135" s="14" t="s">
        <v>3</v>
      </c>
      <c r="I135" s="14" t="s">
        <v>137</v>
      </c>
      <c r="J135" s="14" t="s">
        <v>150</v>
      </c>
      <c r="K135" s="15" t="n">
        <v>20.04</v>
      </c>
      <c r="L135" s="14" t="n">
        <v>3</v>
      </c>
      <c r="M135" s="16" t="n">
        <v>0</v>
      </c>
      <c r="N135" s="15" t="n">
        <v>9.6192</v>
      </c>
      <c r="O135" s="17" t="str">
        <f aca="false">UPPER(LEFT(F135,3))&amp;"-"&amp;G135</f>
        <v>CAL-95661</v>
      </c>
      <c r="P135" s="17" t="str">
        <f aca="false">PROPER(TRIM(E135))</f>
        <v>Roseville</v>
      </c>
      <c r="Q135" s="17" t="str">
        <f aca="false">IFERROR(VLOOKUP(F135,Lookups!$A$2:$B$50,2,FALSE()),"Not found")</f>
        <v>West</v>
      </c>
      <c r="R135" s="17" t="str">
        <f aca="false">IF(Q135=H135,"Match","Mismatch")</f>
        <v>Match</v>
      </c>
      <c r="S135" s="17" t="str">
        <f aca="false">IFERROR(INDEX(SubCatCat,MATCH(J135,SubCatName,0)),"Not found")</f>
        <v>Office Supplies</v>
      </c>
      <c r="T135" s="18" t="n">
        <f aca="false">IF(K135=0,0,N135/K135)</f>
        <v>0.48</v>
      </c>
      <c r="U135" s="17" t="str">
        <f aca="false">IF(N135&lt;0,"Loss",IF(T135&gt;=0.2,"High margin","Normal"))</f>
        <v>High margin</v>
      </c>
      <c r="V135" s="17" t="str">
        <f aca="false">IF(M135=0,"No discount",IF(M135&lt;=0.2,"Low",IF(M135&lt;=0.4,"Medium","High")))</f>
        <v>No discount</v>
      </c>
      <c r="W135" s="17" t="str">
        <f aca="false">IF(OR(B135="Same Day",B135="First Class"),"Fast","Standard")</f>
        <v>Standard</v>
      </c>
      <c r="X135" s="19" t="n">
        <f aca="false">ROUND(K135/L135,2)</f>
        <v>6.68</v>
      </c>
    </row>
    <row r="136" customFormat="false" ht="15" hidden="false" customHeight="false" outlineLevel="0" collapsed="false">
      <c r="A136" s="14" t="n">
        <v>135</v>
      </c>
      <c r="B136" s="14" t="s">
        <v>139</v>
      </c>
      <c r="C136" s="14" t="s">
        <v>7</v>
      </c>
      <c r="D136" s="14" t="s">
        <v>128</v>
      </c>
      <c r="E136" s="14" t="s">
        <v>218</v>
      </c>
      <c r="F136" s="14" t="s">
        <v>9</v>
      </c>
      <c r="G136" s="14" t="n">
        <v>95661</v>
      </c>
      <c r="H136" s="14" t="s">
        <v>3</v>
      </c>
      <c r="I136" s="14" t="s">
        <v>137</v>
      </c>
      <c r="J136" s="14" t="s">
        <v>150</v>
      </c>
      <c r="K136" s="15" t="n">
        <v>35.44</v>
      </c>
      <c r="L136" s="14" t="n">
        <v>1</v>
      </c>
      <c r="M136" s="16" t="n">
        <v>0</v>
      </c>
      <c r="N136" s="15" t="n">
        <v>16.6568</v>
      </c>
      <c r="O136" s="17" t="str">
        <f aca="false">UPPER(LEFT(F136,3))&amp;"-"&amp;G136</f>
        <v>CAL-95661</v>
      </c>
      <c r="P136" s="17" t="str">
        <f aca="false">PROPER(TRIM(E136))</f>
        <v>Roseville</v>
      </c>
      <c r="Q136" s="17" t="str">
        <f aca="false">IFERROR(VLOOKUP(F136,Lookups!$A$2:$B$50,2,FALSE()),"Not found")</f>
        <v>West</v>
      </c>
      <c r="R136" s="17" t="str">
        <f aca="false">IF(Q136=H136,"Match","Mismatch")</f>
        <v>Match</v>
      </c>
      <c r="S136" s="17" t="str">
        <f aca="false">IFERROR(INDEX(SubCatCat,MATCH(J136,SubCatName,0)),"Not found")</f>
        <v>Office Supplies</v>
      </c>
      <c r="T136" s="18" t="n">
        <f aca="false">IF(K136=0,0,N136/K136)</f>
        <v>0.47</v>
      </c>
      <c r="U136" s="17" t="str">
        <f aca="false">IF(N136&lt;0,"Loss",IF(T136&gt;=0.2,"High margin","Normal"))</f>
        <v>High margin</v>
      </c>
      <c r="V136" s="17" t="str">
        <f aca="false">IF(M136=0,"No discount",IF(M136&lt;=0.2,"Low",IF(M136&lt;=0.4,"Medium","High")))</f>
        <v>No discount</v>
      </c>
      <c r="W136" s="17" t="str">
        <f aca="false">IF(OR(B136="Same Day",B136="First Class"),"Fast","Standard")</f>
        <v>Standard</v>
      </c>
      <c r="X136" s="19" t="n">
        <f aca="false">ROUND(K136/L136,2)</f>
        <v>35.44</v>
      </c>
    </row>
    <row r="137" customFormat="false" ht="15" hidden="false" customHeight="false" outlineLevel="0" collapsed="false">
      <c r="A137" s="14" t="n">
        <v>136</v>
      </c>
      <c r="B137" s="14" t="s">
        <v>139</v>
      </c>
      <c r="C137" s="14" t="s">
        <v>7</v>
      </c>
      <c r="D137" s="14" t="s">
        <v>128</v>
      </c>
      <c r="E137" s="14" t="s">
        <v>218</v>
      </c>
      <c r="F137" s="14" t="s">
        <v>9</v>
      </c>
      <c r="G137" s="14" t="n">
        <v>95661</v>
      </c>
      <c r="H137" s="14" t="s">
        <v>3</v>
      </c>
      <c r="I137" s="14" t="s">
        <v>137</v>
      </c>
      <c r="J137" s="14" t="s">
        <v>145</v>
      </c>
      <c r="K137" s="15" t="n">
        <v>11.52</v>
      </c>
      <c r="L137" s="14" t="n">
        <v>4</v>
      </c>
      <c r="M137" s="16" t="n">
        <v>0</v>
      </c>
      <c r="N137" s="15" t="n">
        <v>3.456</v>
      </c>
      <c r="O137" s="17" t="str">
        <f aca="false">UPPER(LEFT(F137,3))&amp;"-"&amp;G137</f>
        <v>CAL-95661</v>
      </c>
      <c r="P137" s="17" t="str">
        <f aca="false">PROPER(TRIM(E137))</f>
        <v>Roseville</v>
      </c>
      <c r="Q137" s="17" t="str">
        <f aca="false">IFERROR(VLOOKUP(F137,Lookups!$A$2:$B$50,2,FALSE()),"Not found")</f>
        <v>West</v>
      </c>
      <c r="R137" s="17" t="str">
        <f aca="false">IF(Q137=H137,"Match","Mismatch")</f>
        <v>Match</v>
      </c>
      <c r="S137" s="17" t="str">
        <f aca="false">IFERROR(INDEX(SubCatCat,MATCH(J137,SubCatName,0)),"Not found")</f>
        <v>Office Supplies</v>
      </c>
      <c r="T137" s="18" t="n">
        <f aca="false">IF(K137=0,0,N137/K137)</f>
        <v>0.3</v>
      </c>
      <c r="U137" s="17" t="str">
        <f aca="false">IF(N137&lt;0,"Loss",IF(T137&gt;=0.2,"High margin","Normal"))</f>
        <v>High margin</v>
      </c>
      <c r="V137" s="17" t="str">
        <f aca="false">IF(M137=0,"No discount",IF(M137&lt;=0.2,"Low",IF(M137&lt;=0.4,"Medium","High")))</f>
        <v>No discount</v>
      </c>
      <c r="W137" s="17" t="str">
        <f aca="false">IF(OR(B137="Same Day",B137="First Class"),"Fast","Standard")</f>
        <v>Standard</v>
      </c>
      <c r="X137" s="19" t="n">
        <f aca="false">ROUND(K137/L137,2)</f>
        <v>2.88</v>
      </c>
    </row>
    <row r="138" customFormat="false" ht="15" hidden="false" customHeight="false" outlineLevel="0" collapsed="false">
      <c r="A138" s="14" t="n">
        <v>137</v>
      </c>
      <c r="B138" s="14" t="s">
        <v>139</v>
      </c>
      <c r="C138" s="14" t="s">
        <v>7</v>
      </c>
      <c r="D138" s="14" t="s">
        <v>128</v>
      </c>
      <c r="E138" s="14" t="s">
        <v>218</v>
      </c>
      <c r="F138" s="14" t="s">
        <v>9</v>
      </c>
      <c r="G138" s="14" t="n">
        <v>95661</v>
      </c>
      <c r="H138" s="14" t="s">
        <v>3</v>
      </c>
      <c r="I138" s="14" t="s">
        <v>137</v>
      </c>
      <c r="J138" s="14" t="s">
        <v>186</v>
      </c>
      <c r="K138" s="15" t="n">
        <v>4.02</v>
      </c>
      <c r="L138" s="14" t="n">
        <v>2</v>
      </c>
      <c r="M138" s="16" t="n">
        <v>0</v>
      </c>
      <c r="N138" s="15" t="n">
        <v>1.9698</v>
      </c>
      <c r="O138" s="17" t="str">
        <f aca="false">UPPER(LEFT(F138,3))&amp;"-"&amp;G138</f>
        <v>CAL-95661</v>
      </c>
      <c r="P138" s="17" t="str">
        <f aca="false">PROPER(TRIM(E138))</f>
        <v>Roseville</v>
      </c>
      <c r="Q138" s="17" t="str">
        <f aca="false">IFERROR(VLOOKUP(F138,Lookups!$A$2:$B$50,2,FALSE()),"Not found")</f>
        <v>West</v>
      </c>
      <c r="R138" s="17" t="str">
        <f aca="false">IF(Q138=H138,"Match","Mismatch")</f>
        <v>Match</v>
      </c>
      <c r="S138" s="17" t="str">
        <f aca="false">IFERROR(INDEX(SubCatCat,MATCH(J138,SubCatName,0)),"Not found")</f>
        <v>Office Supplies</v>
      </c>
      <c r="T138" s="18" t="n">
        <f aca="false">IF(K138=0,0,N138/K138)</f>
        <v>0.49</v>
      </c>
      <c r="U138" s="17" t="str">
        <f aca="false">IF(N138&lt;0,"Loss",IF(T138&gt;=0.2,"High margin","Normal"))</f>
        <v>High margin</v>
      </c>
      <c r="V138" s="17" t="str">
        <f aca="false">IF(M138=0,"No discount",IF(M138&lt;=0.2,"Low",IF(M138&lt;=0.4,"Medium","High")))</f>
        <v>No discount</v>
      </c>
      <c r="W138" s="17" t="str">
        <f aca="false">IF(OR(B138="Same Day",B138="First Class"),"Fast","Standard")</f>
        <v>Standard</v>
      </c>
      <c r="X138" s="19" t="n">
        <f aca="false">ROUND(K138/L138,2)</f>
        <v>2.01</v>
      </c>
    </row>
    <row r="139" customFormat="false" ht="15" hidden="false" customHeight="false" outlineLevel="0" collapsed="false">
      <c r="A139" s="14" t="n">
        <v>138</v>
      </c>
      <c r="B139" s="14" t="s">
        <v>139</v>
      </c>
      <c r="C139" s="14" t="s">
        <v>7</v>
      </c>
      <c r="D139" s="14" t="s">
        <v>128</v>
      </c>
      <c r="E139" s="14" t="s">
        <v>218</v>
      </c>
      <c r="F139" s="14" t="s">
        <v>9</v>
      </c>
      <c r="G139" s="14" t="n">
        <v>95661</v>
      </c>
      <c r="H139" s="14" t="s">
        <v>3</v>
      </c>
      <c r="I139" s="14" t="s">
        <v>137</v>
      </c>
      <c r="J139" s="14" t="s">
        <v>146</v>
      </c>
      <c r="K139" s="15" t="n">
        <v>76.176</v>
      </c>
      <c r="L139" s="14" t="n">
        <v>3</v>
      </c>
      <c r="M139" s="16" t="n">
        <v>0.2</v>
      </c>
      <c r="N139" s="15" t="n">
        <v>26.6616</v>
      </c>
      <c r="O139" s="17" t="str">
        <f aca="false">UPPER(LEFT(F139,3))&amp;"-"&amp;G139</f>
        <v>CAL-95661</v>
      </c>
      <c r="P139" s="17" t="str">
        <f aca="false">PROPER(TRIM(E139))</f>
        <v>Roseville</v>
      </c>
      <c r="Q139" s="17" t="str">
        <f aca="false">IFERROR(VLOOKUP(F139,Lookups!$A$2:$B$50,2,FALSE()),"Not found")</f>
        <v>West</v>
      </c>
      <c r="R139" s="17" t="str">
        <f aca="false">IF(Q139=H139,"Match","Mismatch")</f>
        <v>Match</v>
      </c>
      <c r="S139" s="17" t="str">
        <f aca="false">IFERROR(INDEX(SubCatCat,MATCH(J139,SubCatName,0)),"Not found")</f>
        <v>Office Supplies</v>
      </c>
      <c r="T139" s="18" t="n">
        <f aca="false">IF(K139=0,0,N139/K139)</f>
        <v>0.35</v>
      </c>
      <c r="U139" s="17" t="str">
        <f aca="false">IF(N139&lt;0,"Loss",IF(T139&gt;=0.2,"High margin","Normal"))</f>
        <v>High margin</v>
      </c>
      <c r="V139" s="17" t="str">
        <f aca="false">IF(M139=0,"No discount",IF(M139&lt;=0.2,"Low",IF(M139&lt;=0.4,"Medium","High")))</f>
        <v>Low</v>
      </c>
      <c r="W139" s="17" t="str">
        <f aca="false">IF(OR(B139="Same Day",B139="First Class"),"Fast","Standard")</f>
        <v>Standard</v>
      </c>
      <c r="X139" s="19" t="n">
        <f aca="false">ROUND(K139/L139,2)</f>
        <v>25.39</v>
      </c>
    </row>
    <row r="140" customFormat="false" ht="15" hidden="false" customHeight="false" outlineLevel="0" collapsed="false">
      <c r="A140" s="14" t="n">
        <v>139</v>
      </c>
      <c r="B140" s="14" t="s">
        <v>139</v>
      </c>
      <c r="C140" s="14" t="s">
        <v>7</v>
      </c>
      <c r="D140" s="14" t="s">
        <v>128</v>
      </c>
      <c r="E140" s="14" t="s">
        <v>218</v>
      </c>
      <c r="F140" s="14" t="s">
        <v>9</v>
      </c>
      <c r="G140" s="14" t="n">
        <v>95661</v>
      </c>
      <c r="H140" s="14" t="s">
        <v>3</v>
      </c>
      <c r="I140" s="14" t="s">
        <v>137</v>
      </c>
      <c r="J140" s="14" t="s">
        <v>219</v>
      </c>
      <c r="K140" s="15" t="n">
        <v>65.88</v>
      </c>
      <c r="L140" s="14" t="n">
        <v>6</v>
      </c>
      <c r="M140" s="16" t="n">
        <v>0</v>
      </c>
      <c r="N140" s="15" t="n">
        <v>18.4464</v>
      </c>
      <c r="O140" s="17" t="str">
        <f aca="false">UPPER(LEFT(F140,3))&amp;"-"&amp;G140</f>
        <v>CAL-95661</v>
      </c>
      <c r="P140" s="17" t="str">
        <f aca="false">PROPER(TRIM(E140))</f>
        <v>Roseville</v>
      </c>
      <c r="Q140" s="17" t="str">
        <f aca="false">IFERROR(VLOOKUP(F140,Lookups!$A$2:$B$50,2,FALSE()),"Not found")</f>
        <v>West</v>
      </c>
      <c r="R140" s="17" t="str">
        <f aca="false">IF(Q140=H140,"Match","Mismatch")</f>
        <v>Match</v>
      </c>
      <c r="S140" s="17" t="str">
        <f aca="false">IFERROR(INDEX(SubCatCat,MATCH(J140,SubCatName,0)),"Not found")</f>
        <v>Office Supplies</v>
      </c>
      <c r="T140" s="18" t="n">
        <f aca="false">IF(K140=0,0,N140/K140)</f>
        <v>0.28</v>
      </c>
      <c r="U140" s="17" t="str">
        <f aca="false">IF(N140&lt;0,"Loss",IF(T140&gt;=0.2,"High margin","Normal"))</f>
        <v>High margin</v>
      </c>
      <c r="V140" s="17" t="str">
        <f aca="false">IF(M140=0,"No discount",IF(M140&lt;=0.2,"Low",IF(M140&lt;=0.4,"Medium","High")))</f>
        <v>No discount</v>
      </c>
      <c r="W140" s="17" t="str">
        <f aca="false">IF(OR(B140="Same Day",B140="First Class"),"Fast","Standard")</f>
        <v>Standard</v>
      </c>
      <c r="X140" s="19" t="n">
        <f aca="false">ROUND(K140/L140,2)</f>
        <v>10.98</v>
      </c>
    </row>
    <row r="141" customFormat="false" ht="15" hidden="false" customHeight="false" outlineLevel="0" collapsed="false">
      <c r="A141" s="14" t="n">
        <v>140</v>
      </c>
      <c r="B141" s="14" t="s">
        <v>139</v>
      </c>
      <c r="C141" s="14" t="s">
        <v>7</v>
      </c>
      <c r="D141" s="14" t="s">
        <v>128</v>
      </c>
      <c r="E141" s="14" t="s">
        <v>218</v>
      </c>
      <c r="F141" s="14" t="s">
        <v>9</v>
      </c>
      <c r="G141" s="14" t="n">
        <v>95661</v>
      </c>
      <c r="H141" s="14" t="s">
        <v>3</v>
      </c>
      <c r="I141" s="14" t="s">
        <v>132</v>
      </c>
      <c r="J141" s="14" t="s">
        <v>144</v>
      </c>
      <c r="K141" s="15" t="n">
        <v>43.12</v>
      </c>
      <c r="L141" s="14" t="n">
        <v>14</v>
      </c>
      <c r="M141" s="16" t="n">
        <v>0</v>
      </c>
      <c r="N141" s="15" t="n">
        <v>20.6976</v>
      </c>
      <c r="O141" s="17" t="str">
        <f aca="false">UPPER(LEFT(F141,3))&amp;"-"&amp;G141</f>
        <v>CAL-95661</v>
      </c>
      <c r="P141" s="17" t="str">
        <f aca="false">PROPER(TRIM(E141))</f>
        <v>Roseville</v>
      </c>
      <c r="Q141" s="17" t="str">
        <f aca="false">IFERROR(VLOOKUP(F141,Lookups!$A$2:$B$50,2,FALSE()),"Not found")</f>
        <v>West</v>
      </c>
      <c r="R141" s="17" t="str">
        <f aca="false">IF(Q141=H141,"Match","Mismatch")</f>
        <v>Match</v>
      </c>
      <c r="S141" s="17" t="str">
        <f aca="false">IFERROR(INDEX(SubCatCat,MATCH(J141,SubCatName,0)),"Not found")</f>
        <v>Furniture</v>
      </c>
      <c r="T141" s="18" t="n">
        <f aca="false">IF(K141=0,0,N141/K141)</f>
        <v>0.48</v>
      </c>
      <c r="U141" s="17" t="str">
        <f aca="false">IF(N141&lt;0,"Loss",IF(T141&gt;=0.2,"High margin","Normal"))</f>
        <v>High margin</v>
      </c>
      <c r="V141" s="17" t="str">
        <f aca="false">IF(M141=0,"No discount",IF(M141&lt;=0.2,"Low",IF(M141&lt;=0.4,"Medium","High")))</f>
        <v>No discount</v>
      </c>
      <c r="W141" s="17" t="str">
        <f aca="false">IF(OR(B141="Same Day",B141="First Class"),"Fast","Standard")</f>
        <v>Standard</v>
      </c>
      <c r="X141" s="19" t="n">
        <f aca="false">ROUND(K141/L141,2)</f>
        <v>3.08</v>
      </c>
    </row>
    <row r="142" customFormat="false" ht="15" hidden="false" customHeight="false" outlineLevel="0" collapsed="false">
      <c r="A142" s="14" t="n">
        <v>141</v>
      </c>
      <c r="B142" s="14" t="s">
        <v>127</v>
      </c>
      <c r="C142" s="14" t="s">
        <v>135</v>
      </c>
      <c r="D142" s="14" t="s">
        <v>128</v>
      </c>
      <c r="E142" s="14" t="s">
        <v>164</v>
      </c>
      <c r="F142" s="14" t="s">
        <v>165</v>
      </c>
      <c r="G142" s="14" t="n">
        <v>19140</v>
      </c>
      <c r="H142" s="14" t="s">
        <v>166</v>
      </c>
      <c r="I142" s="14" t="s">
        <v>132</v>
      </c>
      <c r="J142" s="14" t="s">
        <v>144</v>
      </c>
      <c r="K142" s="15" t="n">
        <v>82.8</v>
      </c>
      <c r="L142" s="14" t="n">
        <v>2</v>
      </c>
      <c r="M142" s="16" t="n">
        <v>0.2</v>
      </c>
      <c r="N142" s="15" t="n">
        <v>10.35</v>
      </c>
      <c r="O142" s="17" t="str">
        <f aca="false">UPPER(LEFT(F142,3))&amp;"-"&amp;G142</f>
        <v>PEN-19140</v>
      </c>
      <c r="P142" s="17" t="str">
        <f aca="false">PROPER(TRIM(E142))</f>
        <v>Philadelphia</v>
      </c>
      <c r="Q142" s="17" t="str">
        <f aca="false">IFERROR(VLOOKUP(F142,Lookups!$A$2:$B$50,2,FALSE()),"Not found")</f>
        <v>East</v>
      </c>
      <c r="R142" s="17" t="str">
        <f aca="false">IF(Q142=H142,"Match","Mismatch")</f>
        <v>Match</v>
      </c>
      <c r="S142" s="17" t="str">
        <f aca="false">IFERROR(INDEX(SubCatCat,MATCH(J142,SubCatName,0)),"Not found")</f>
        <v>Furniture</v>
      </c>
      <c r="T142" s="18" t="n">
        <f aca="false">IF(K142=0,0,N142/K142)</f>
        <v>0.125</v>
      </c>
      <c r="U142" s="17" t="str">
        <f aca="false">IF(N142&lt;0,"Loss",IF(T142&gt;=0.2,"High margin","Normal"))</f>
        <v>Normal</v>
      </c>
      <c r="V142" s="17" t="str">
        <f aca="false">IF(M142=0,"No discount",IF(M142&lt;=0.2,"Low",IF(M142&lt;=0.4,"Medium","High")))</f>
        <v>Low</v>
      </c>
      <c r="W142" s="17" t="str">
        <f aca="false">IF(OR(B142="Same Day",B142="First Class"),"Fast","Standard")</f>
        <v>Standard</v>
      </c>
      <c r="X142" s="19" t="n">
        <f aca="false">ROUND(K142/L142,2)</f>
        <v>41.4</v>
      </c>
    </row>
    <row r="143" customFormat="false" ht="15" hidden="false" customHeight="false" outlineLevel="0" collapsed="false">
      <c r="A143" s="14" t="n">
        <v>142</v>
      </c>
      <c r="B143" s="14" t="s">
        <v>139</v>
      </c>
      <c r="C143" s="14" t="s">
        <v>135</v>
      </c>
      <c r="D143" s="14" t="s">
        <v>128</v>
      </c>
      <c r="E143" s="14" t="s">
        <v>161</v>
      </c>
      <c r="F143" s="14" t="s">
        <v>9</v>
      </c>
      <c r="G143" s="14" t="n">
        <v>94122</v>
      </c>
      <c r="H143" s="14" t="s">
        <v>3</v>
      </c>
      <c r="I143" s="14" t="s">
        <v>137</v>
      </c>
      <c r="J143" s="14" t="s">
        <v>145</v>
      </c>
      <c r="K143" s="15" t="n">
        <v>8.82</v>
      </c>
      <c r="L143" s="14" t="n">
        <v>3</v>
      </c>
      <c r="M143" s="16" t="n">
        <v>0</v>
      </c>
      <c r="N143" s="15" t="n">
        <v>2.3814</v>
      </c>
      <c r="O143" s="17" t="str">
        <f aca="false">UPPER(LEFT(F143,3))&amp;"-"&amp;G143</f>
        <v>CAL-94122</v>
      </c>
      <c r="P143" s="17" t="str">
        <f aca="false">PROPER(TRIM(E143))</f>
        <v>San Francisco</v>
      </c>
      <c r="Q143" s="17" t="str">
        <f aca="false">IFERROR(VLOOKUP(F143,Lookups!$A$2:$B$50,2,FALSE()),"Not found")</f>
        <v>West</v>
      </c>
      <c r="R143" s="17" t="str">
        <f aca="false">IF(Q143=H143,"Match","Mismatch")</f>
        <v>Match</v>
      </c>
      <c r="S143" s="17" t="str">
        <f aca="false">IFERROR(INDEX(SubCatCat,MATCH(J143,SubCatName,0)),"Not found")</f>
        <v>Office Supplies</v>
      </c>
      <c r="T143" s="18" t="n">
        <f aca="false">IF(K143=0,0,N143/K143)</f>
        <v>0.27</v>
      </c>
      <c r="U143" s="17" t="str">
        <f aca="false">IF(N143&lt;0,"Loss",IF(T143&gt;=0.2,"High margin","Normal"))</f>
        <v>High margin</v>
      </c>
      <c r="V143" s="17" t="str">
        <f aca="false">IF(M143=0,"No discount",IF(M143&lt;=0.2,"Low",IF(M143&lt;=0.4,"Medium","High")))</f>
        <v>No discount</v>
      </c>
      <c r="W143" s="17" t="str">
        <f aca="false">IF(OR(B143="Same Day",B143="First Class"),"Fast","Standard")</f>
        <v>Standard</v>
      </c>
      <c r="X143" s="19" t="n">
        <f aca="false">ROUND(K143/L143,2)</f>
        <v>2.94</v>
      </c>
    </row>
    <row r="144" customFormat="false" ht="15" hidden="false" customHeight="false" outlineLevel="0" collapsed="false">
      <c r="A144" s="14" t="n">
        <v>143</v>
      </c>
      <c r="B144" s="14" t="s">
        <v>139</v>
      </c>
      <c r="C144" s="14" t="s">
        <v>135</v>
      </c>
      <c r="D144" s="14" t="s">
        <v>128</v>
      </c>
      <c r="E144" s="14" t="s">
        <v>161</v>
      </c>
      <c r="F144" s="14" t="s">
        <v>9</v>
      </c>
      <c r="G144" s="14" t="n">
        <v>94122</v>
      </c>
      <c r="H144" s="14" t="s">
        <v>3</v>
      </c>
      <c r="I144" s="14" t="s">
        <v>137</v>
      </c>
      <c r="J144" s="14" t="s">
        <v>169</v>
      </c>
      <c r="K144" s="15" t="n">
        <v>10.86</v>
      </c>
      <c r="L144" s="14" t="n">
        <v>3</v>
      </c>
      <c r="M144" s="16" t="n">
        <v>0</v>
      </c>
      <c r="N144" s="15" t="n">
        <v>5.1042</v>
      </c>
      <c r="O144" s="17" t="str">
        <f aca="false">UPPER(LEFT(F144,3))&amp;"-"&amp;G144</f>
        <v>CAL-94122</v>
      </c>
      <c r="P144" s="17" t="str">
        <f aca="false">PROPER(TRIM(E144))</f>
        <v>San Francisco</v>
      </c>
      <c r="Q144" s="17" t="str">
        <f aca="false">IFERROR(VLOOKUP(F144,Lookups!$A$2:$B$50,2,FALSE()),"Not found")</f>
        <v>West</v>
      </c>
      <c r="R144" s="17" t="str">
        <f aca="false">IF(Q144=H144,"Match","Mismatch")</f>
        <v>Match</v>
      </c>
      <c r="S144" s="17" t="str">
        <f aca="false">IFERROR(INDEX(SubCatCat,MATCH(J144,SubCatName,0)),"Not found")</f>
        <v>Office Supplies</v>
      </c>
      <c r="T144" s="18" t="n">
        <f aca="false">IF(K144=0,0,N144/K144)</f>
        <v>0.47</v>
      </c>
      <c r="U144" s="17" t="str">
        <f aca="false">IF(N144&lt;0,"Loss",IF(T144&gt;=0.2,"High margin","Normal"))</f>
        <v>High margin</v>
      </c>
      <c r="V144" s="17" t="str">
        <f aca="false">IF(M144=0,"No discount",IF(M144&lt;=0.2,"Low",IF(M144&lt;=0.4,"Medium","High")))</f>
        <v>No discount</v>
      </c>
      <c r="W144" s="17" t="str">
        <f aca="false">IF(OR(B144="Same Day",B144="First Class"),"Fast","Standard")</f>
        <v>Standard</v>
      </c>
      <c r="X144" s="19" t="n">
        <f aca="false">ROUND(K144/L144,2)</f>
        <v>3.62</v>
      </c>
    </row>
    <row r="145" customFormat="false" ht="15" hidden="false" customHeight="false" outlineLevel="0" collapsed="false">
      <c r="A145" s="14" t="n">
        <v>144</v>
      </c>
      <c r="B145" s="14" t="s">
        <v>139</v>
      </c>
      <c r="C145" s="14" t="s">
        <v>135</v>
      </c>
      <c r="D145" s="14" t="s">
        <v>128</v>
      </c>
      <c r="E145" s="14" t="s">
        <v>161</v>
      </c>
      <c r="F145" s="14" t="s">
        <v>9</v>
      </c>
      <c r="G145" s="14" t="n">
        <v>94122</v>
      </c>
      <c r="H145" s="14" t="s">
        <v>3</v>
      </c>
      <c r="I145" s="14" t="s">
        <v>137</v>
      </c>
      <c r="J145" s="14" t="s">
        <v>150</v>
      </c>
      <c r="K145" s="15" t="n">
        <v>143.7</v>
      </c>
      <c r="L145" s="14" t="n">
        <v>3</v>
      </c>
      <c r="M145" s="16" t="n">
        <v>0</v>
      </c>
      <c r="N145" s="15" t="n">
        <v>68.976</v>
      </c>
      <c r="O145" s="17" t="str">
        <f aca="false">UPPER(LEFT(F145,3))&amp;"-"&amp;G145</f>
        <v>CAL-94122</v>
      </c>
      <c r="P145" s="17" t="str">
        <f aca="false">PROPER(TRIM(E145))</f>
        <v>San Francisco</v>
      </c>
      <c r="Q145" s="17" t="str">
        <f aca="false">IFERROR(VLOOKUP(F145,Lookups!$A$2:$B$50,2,FALSE()),"Not found")</f>
        <v>West</v>
      </c>
      <c r="R145" s="17" t="str">
        <f aca="false">IF(Q145=H145,"Match","Mismatch")</f>
        <v>Match</v>
      </c>
      <c r="S145" s="17" t="str">
        <f aca="false">IFERROR(INDEX(SubCatCat,MATCH(J145,SubCatName,0)),"Not found")</f>
        <v>Office Supplies</v>
      </c>
      <c r="T145" s="18" t="n">
        <f aca="false">IF(K145=0,0,N145/K145)</f>
        <v>0.48</v>
      </c>
      <c r="U145" s="17" t="str">
        <f aca="false">IF(N145&lt;0,"Loss",IF(T145&gt;=0.2,"High margin","Normal"))</f>
        <v>High margin</v>
      </c>
      <c r="V145" s="17" t="str">
        <f aca="false">IF(M145=0,"No discount",IF(M145&lt;=0.2,"Low",IF(M145&lt;=0.4,"Medium","High")))</f>
        <v>No discount</v>
      </c>
      <c r="W145" s="17" t="str">
        <f aca="false">IF(OR(B145="Same Day",B145="First Class"),"Fast","Standard")</f>
        <v>Standard</v>
      </c>
      <c r="X145" s="19" t="n">
        <f aca="false">ROUND(K145/L145,2)</f>
        <v>47.9</v>
      </c>
    </row>
    <row r="146" customFormat="false" ht="15" hidden="false" customHeight="false" outlineLevel="0" collapsed="false">
      <c r="A146" s="14" t="n">
        <v>145</v>
      </c>
      <c r="B146" s="14" t="s">
        <v>139</v>
      </c>
      <c r="C146" s="14" t="s">
        <v>7</v>
      </c>
      <c r="D146" s="14" t="s">
        <v>128</v>
      </c>
      <c r="E146" s="14" t="s">
        <v>220</v>
      </c>
      <c r="F146" s="14" t="s">
        <v>221</v>
      </c>
      <c r="G146" s="14" t="n">
        <v>64055</v>
      </c>
      <c r="H146" s="14" t="s">
        <v>156</v>
      </c>
      <c r="I146" s="14" t="s">
        <v>137</v>
      </c>
      <c r="J146" s="14" t="s">
        <v>147</v>
      </c>
      <c r="K146" s="15" t="n">
        <v>839.43</v>
      </c>
      <c r="L146" s="14" t="n">
        <v>3</v>
      </c>
      <c r="M146" s="16" t="n">
        <v>0</v>
      </c>
      <c r="N146" s="15" t="n">
        <v>218.2518</v>
      </c>
      <c r="O146" s="17" t="str">
        <f aca="false">UPPER(LEFT(F146,3))&amp;"-"&amp;G146</f>
        <v>MIS-64055</v>
      </c>
      <c r="P146" s="17" t="str">
        <f aca="false">PROPER(TRIM(E146))</f>
        <v>Independence</v>
      </c>
      <c r="Q146" s="17" t="str">
        <f aca="false">IFERROR(VLOOKUP(F146,Lookups!$A$2:$B$50,2,FALSE()),"Not found")</f>
        <v>Central</v>
      </c>
      <c r="R146" s="17" t="str">
        <f aca="false">IF(Q146=H146,"Match","Mismatch")</f>
        <v>Match</v>
      </c>
      <c r="S146" s="17" t="str">
        <f aca="false">IFERROR(INDEX(SubCatCat,MATCH(J146,SubCatName,0)),"Not found")</f>
        <v>Office Supplies</v>
      </c>
      <c r="T146" s="18" t="n">
        <f aca="false">IF(K146=0,0,N146/K146)</f>
        <v>0.26</v>
      </c>
      <c r="U146" s="17" t="str">
        <f aca="false">IF(N146&lt;0,"Loss",IF(T146&gt;=0.2,"High margin","Normal"))</f>
        <v>High margin</v>
      </c>
      <c r="V146" s="17" t="str">
        <f aca="false">IF(M146=0,"No discount",IF(M146&lt;=0.2,"Low",IF(M146&lt;=0.4,"Medium","High")))</f>
        <v>No discount</v>
      </c>
      <c r="W146" s="17" t="str">
        <f aca="false">IF(OR(B146="Same Day",B146="First Class"),"Fast","Standard")</f>
        <v>Standard</v>
      </c>
      <c r="X146" s="19" t="n">
        <f aca="false">ROUND(K146/L146,2)</f>
        <v>279.81</v>
      </c>
    </row>
    <row r="147" customFormat="false" ht="15" hidden="false" customHeight="false" outlineLevel="0" collapsed="false">
      <c r="A147" s="14" t="n">
        <v>146</v>
      </c>
      <c r="B147" s="14" t="s">
        <v>139</v>
      </c>
      <c r="C147" s="14" t="s">
        <v>7</v>
      </c>
      <c r="D147" s="14" t="s">
        <v>128</v>
      </c>
      <c r="E147" s="14" t="s">
        <v>222</v>
      </c>
      <c r="F147" s="14" t="s">
        <v>9</v>
      </c>
      <c r="G147" s="14" t="n">
        <v>91104</v>
      </c>
      <c r="H147" s="14" t="s">
        <v>3</v>
      </c>
      <c r="I147" s="14" t="s">
        <v>137</v>
      </c>
      <c r="J147" s="14" t="s">
        <v>143</v>
      </c>
      <c r="K147" s="15" t="n">
        <v>671.93</v>
      </c>
      <c r="L147" s="14" t="n">
        <v>7</v>
      </c>
      <c r="M147" s="16" t="n">
        <v>0</v>
      </c>
      <c r="N147" s="15" t="n">
        <v>20.1579</v>
      </c>
      <c r="O147" s="17" t="str">
        <f aca="false">UPPER(LEFT(F147,3))&amp;"-"&amp;G147</f>
        <v>CAL-91104</v>
      </c>
      <c r="P147" s="17" t="str">
        <f aca="false">PROPER(TRIM(E147))</f>
        <v>Pasadena</v>
      </c>
      <c r="Q147" s="17" t="str">
        <f aca="false">IFERROR(VLOOKUP(F147,Lookups!$A$2:$B$50,2,FALSE()),"Not found")</f>
        <v>West</v>
      </c>
      <c r="R147" s="17" t="str">
        <f aca="false">IF(Q147=H147,"Match","Mismatch")</f>
        <v>Match</v>
      </c>
      <c r="S147" s="17" t="str">
        <f aca="false">IFERROR(INDEX(SubCatCat,MATCH(J147,SubCatName,0)),"Not found")</f>
        <v>Office Supplies</v>
      </c>
      <c r="T147" s="18" t="n">
        <f aca="false">IF(K147=0,0,N147/K147)</f>
        <v>0.03</v>
      </c>
      <c r="U147" s="17" t="str">
        <f aca="false">IF(N147&lt;0,"Loss",IF(T147&gt;=0.2,"High margin","Normal"))</f>
        <v>Normal</v>
      </c>
      <c r="V147" s="17" t="str">
        <f aca="false">IF(M147=0,"No discount",IF(M147&lt;=0.2,"Low",IF(M147&lt;=0.4,"Medium","High")))</f>
        <v>No discount</v>
      </c>
      <c r="W147" s="17" t="str">
        <f aca="false">IF(OR(B147="Same Day",B147="First Class"),"Fast","Standard")</f>
        <v>Standard</v>
      </c>
      <c r="X147" s="19" t="n">
        <f aca="false">ROUND(K147/L147,2)</f>
        <v>95.99</v>
      </c>
    </row>
    <row r="148" customFormat="false" ht="15" hidden="false" customHeight="false" outlineLevel="0" collapsed="false">
      <c r="A148" s="14" t="n">
        <v>147</v>
      </c>
      <c r="B148" s="14" t="s">
        <v>139</v>
      </c>
      <c r="C148" s="14" t="s">
        <v>153</v>
      </c>
      <c r="D148" s="14" t="s">
        <v>128</v>
      </c>
      <c r="E148" s="14" t="s">
        <v>223</v>
      </c>
      <c r="F148" s="14" t="s">
        <v>213</v>
      </c>
      <c r="G148" s="14" t="n">
        <v>43055</v>
      </c>
      <c r="H148" s="14" t="s">
        <v>166</v>
      </c>
      <c r="I148" s="14" t="s">
        <v>132</v>
      </c>
      <c r="J148" s="14" t="s">
        <v>144</v>
      </c>
      <c r="K148" s="15" t="n">
        <v>93.888</v>
      </c>
      <c r="L148" s="14" t="n">
        <v>4</v>
      </c>
      <c r="M148" s="16" t="n">
        <v>0.2</v>
      </c>
      <c r="N148" s="15" t="n">
        <v>12.9096</v>
      </c>
      <c r="O148" s="17" t="str">
        <f aca="false">UPPER(LEFT(F148,3))&amp;"-"&amp;G148</f>
        <v>OHI-43055</v>
      </c>
      <c r="P148" s="17" t="str">
        <f aca="false">PROPER(TRIM(E148))</f>
        <v>Newark</v>
      </c>
      <c r="Q148" s="17" t="str">
        <f aca="false">IFERROR(VLOOKUP(F148,Lookups!$A$2:$B$50,2,FALSE()),"Not found")</f>
        <v>East</v>
      </c>
      <c r="R148" s="17" t="str">
        <f aca="false">IF(Q148=H148,"Match","Mismatch")</f>
        <v>Match</v>
      </c>
      <c r="S148" s="17" t="str">
        <f aca="false">IFERROR(INDEX(SubCatCat,MATCH(J148,SubCatName,0)),"Not found")</f>
        <v>Furniture</v>
      </c>
      <c r="T148" s="18" t="n">
        <f aca="false">IF(K148=0,0,N148/K148)</f>
        <v>0.1375</v>
      </c>
      <c r="U148" s="17" t="str">
        <f aca="false">IF(N148&lt;0,"Loss",IF(T148&gt;=0.2,"High margin","Normal"))</f>
        <v>Normal</v>
      </c>
      <c r="V148" s="17" t="str">
        <f aca="false">IF(M148=0,"No discount",IF(M148&lt;=0.2,"Low",IF(M148&lt;=0.4,"Medium","High")))</f>
        <v>Low</v>
      </c>
      <c r="W148" s="17" t="str">
        <f aca="false">IF(OR(B148="Same Day",B148="First Class"),"Fast","Standard")</f>
        <v>Standard</v>
      </c>
      <c r="X148" s="19" t="n">
        <f aca="false">ROUND(K148/L148,2)</f>
        <v>23.47</v>
      </c>
    </row>
    <row r="149" customFormat="false" ht="15" hidden="false" customHeight="false" outlineLevel="0" collapsed="false">
      <c r="A149" s="14" t="n">
        <v>148</v>
      </c>
      <c r="B149" s="14" t="s">
        <v>139</v>
      </c>
      <c r="C149" s="14" t="s">
        <v>135</v>
      </c>
      <c r="D149" s="14" t="s">
        <v>128</v>
      </c>
      <c r="E149" s="14" t="s">
        <v>224</v>
      </c>
      <c r="F149" s="14" t="s">
        <v>158</v>
      </c>
      <c r="G149" s="14" t="n">
        <v>53132</v>
      </c>
      <c r="H149" s="14" t="s">
        <v>156</v>
      </c>
      <c r="I149" s="14" t="s">
        <v>5</v>
      </c>
      <c r="J149" s="14" t="s">
        <v>11</v>
      </c>
      <c r="K149" s="15" t="n">
        <v>384.45</v>
      </c>
      <c r="L149" s="14" t="n">
        <v>11</v>
      </c>
      <c r="M149" s="16" t="n">
        <v>0</v>
      </c>
      <c r="N149" s="15" t="n">
        <v>103.8015</v>
      </c>
      <c r="O149" s="17" t="str">
        <f aca="false">UPPER(LEFT(F149,3))&amp;"-"&amp;G149</f>
        <v>WIS-53132</v>
      </c>
      <c r="P149" s="17" t="str">
        <f aca="false">PROPER(TRIM(E149))</f>
        <v>Franklin</v>
      </c>
      <c r="Q149" s="17" t="str">
        <f aca="false">IFERROR(VLOOKUP(F149,Lookups!$A$2:$B$50,2,FALSE()),"Not found")</f>
        <v>Central</v>
      </c>
      <c r="R149" s="17" t="str">
        <f aca="false">IF(Q149=H149,"Match","Mismatch")</f>
        <v>Match</v>
      </c>
      <c r="S149" s="17" t="str">
        <f aca="false">IFERROR(INDEX(SubCatCat,MATCH(J149,SubCatName,0)),"Not found")</f>
        <v>Technology</v>
      </c>
      <c r="T149" s="18" t="n">
        <f aca="false">IF(K149=0,0,N149/K149)</f>
        <v>0.27</v>
      </c>
      <c r="U149" s="17" t="str">
        <f aca="false">IF(N149&lt;0,"Loss",IF(T149&gt;=0.2,"High margin","Normal"))</f>
        <v>High margin</v>
      </c>
      <c r="V149" s="17" t="str">
        <f aca="false">IF(M149=0,"No discount",IF(M149&lt;=0.2,"Low",IF(M149&lt;=0.4,"Medium","High")))</f>
        <v>No discount</v>
      </c>
      <c r="W149" s="17" t="str">
        <f aca="false">IF(OR(B149="Same Day",B149="First Class"),"Fast","Standard")</f>
        <v>Standard</v>
      </c>
      <c r="X149" s="19" t="n">
        <f aca="false">ROUND(K149/L149,2)</f>
        <v>34.95</v>
      </c>
    </row>
    <row r="150" customFormat="false" ht="15" hidden="false" customHeight="false" outlineLevel="0" collapsed="false">
      <c r="A150" s="14" t="n">
        <v>149</v>
      </c>
      <c r="B150" s="14" t="s">
        <v>139</v>
      </c>
      <c r="C150" s="14" t="s">
        <v>135</v>
      </c>
      <c r="D150" s="14" t="s">
        <v>128</v>
      </c>
      <c r="E150" s="14" t="s">
        <v>224</v>
      </c>
      <c r="F150" s="14" t="s">
        <v>158</v>
      </c>
      <c r="G150" s="14" t="n">
        <v>53132</v>
      </c>
      <c r="H150" s="14" t="s">
        <v>156</v>
      </c>
      <c r="I150" s="14" t="s">
        <v>5</v>
      </c>
      <c r="J150" s="14" t="s">
        <v>11</v>
      </c>
      <c r="K150" s="15" t="n">
        <v>149.97</v>
      </c>
      <c r="L150" s="14" t="n">
        <v>3</v>
      </c>
      <c r="M150" s="16" t="n">
        <v>0</v>
      </c>
      <c r="N150" s="15" t="n">
        <v>5.9988</v>
      </c>
      <c r="O150" s="17" t="str">
        <f aca="false">UPPER(LEFT(F150,3))&amp;"-"&amp;G150</f>
        <v>WIS-53132</v>
      </c>
      <c r="P150" s="17" t="str">
        <f aca="false">PROPER(TRIM(E150))</f>
        <v>Franklin</v>
      </c>
      <c r="Q150" s="17" t="str">
        <f aca="false">IFERROR(VLOOKUP(F150,Lookups!$A$2:$B$50,2,FALSE()),"Not found")</f>
        <v>Central</v>
      </c>
      <c r="R150" s="17" t="str">
        <f aca="false">IF(Q150=H150,"Match","Mismatch")</f>
        <v>Match</v>
      </c>
      <c r="S150" s="17" t="str">
        <f aca="false">IFERROR(INDEX(SubCatCat,MATCH(J150,SubCatName,0)),"Not found")</f>
        <v>Technology</v>
      </c>
      <c r="T150" s="18" t="n">
        <f aca="false">IF(K150=0,0,N150/K150)</f>
        <v>0.04</v>
      </c>
      <c r="U150" s="17" t="str">
        <f aca="false">IF(N150&lt;0,"Loss",IF(T150&gt;=0.2,"High margin","Normal"))</f>
        <v>Normal</v>
      </c>
      <c r="V150" s="17" t="str">
        <f aca="false">IF(M150=0,"No discount",IF(M150&lt;=0.2,"Low",IF(M150&lt;=0.4,"Medium","High")))</f>
        <v>No discount</v>
      </c>
      <c r="W150" s="17" t="str">
        <f aca="false">IF(OR(B150="Same Day",B150="First Class"),"Fast","Standard")</f>
        <v>Standard</v>
      </c>
      <c r="X150" s="19" t="n">
        <f aca="false">ROUND(K150/L150,2)</f>
        <v>49.99</v>
      </c>
    </row>
    <row r="151" customFormat="false" ht="15" hidden="false" customHeight="false" outlineLevel="0" collapsed="false">
      <c r="A151" s="14" t="n">
        <v>150</v>
      </c>
      <c r="B151" s="14" t="s">
        <v>139</v>
      </c>
      <c r="C151" s="14" t="s">
        <v>135</v>
      </c>
      <c r="D151" s="14" t="s">
        <v>128</v>
      </c>
      <c r="E151" s="14" t="s">
        <v>224</v>
      </c>
      <c r="F151" s="14" t="s">
        <v>158</v>
      </c>
      <c r="G151" s="14" t="n">
        <v>53132</v>
      </c>
      <c r="H151" s="14" t="s">
        <v>156</v>
      </c>
      <c r="I151" s="14" t="s">
        <v>132</v>
      </c>
      <c r="J151" s="14" t="s">
        <v>134</v>
      </c>
      <c r="K151" s="15" t="n">
        <v>1951.84</v>
      </c>
      <c r="L151" s="14" t="n">
        <v>8</v>
      </c>
      <c r="M151" s="16" t="n">
        <v>0</v>
      </c>
      <c r="N151" s="15" t="n">
        <v>585.552</v>
      </c>
      <c r="O151" s="17" t="str">
        <f aca="false">UPPER(LEFT(F151,3))&amp;"-"&amp;G151</f>
        <v>WIS-53132</v>
      </c>
      <c r="P151" s="17" t="str">
        <f aca="false">PROPER(TRIM(E151))</f>
        <v>Franklin</v>
      </c>
      <c r="Q151" s="17" t="str">
        <f aca="false">IFERROR(VLOOKUP(F151,Lookups!$A$2:$B$50,2,FALSE()),"Not found")</f>
        <v>Central</v>
      </c>
      <c r="R151" s="17" t="str">
        <f aca="false">IF(Q151=H151,"Match","Mismatch")</f>
        <v>Match</v>
      </c>
      <c r="S151" s="17" t="str">
        <f aca="false">IFERROR(INDEX(SubCatCat,MATCH(J151,SubCatName,0)),"Not found")</f>
        <v>Furniture</v>
      </c>
      <c r="T151" s="18" t="n">
        <f aca="false">IF(K151=0,0,N151/K151)</f>
        <v>0.3</v>
      </c>
      <c r="U151" s="17" t="str">
        <f aca="false">IF(N151&lt;0,"Loss",IF(T151&gt;=0.2,"High margin","Normal"))</f>
        <v>High margin</v>
      </c>
      <c r="V151" s="17" t="str">
        <f aca="false">IF(M151=0,"No discount",IF(M151&lt;=0.2,"Low",IF(M151&lt;=0.4,"Medium","High")))</f>
        <v>No discount</v>
      </c>
      <c r="W151" s="17" t="str">
        <f aca="false">IF(OR(B151="Same Day",B151="First Class"),"Fast","Standard")</f>
        <v>Standard</v>
      </c>
      <c r="X151" s="19" t="n">
        <f aca="false">ROUND(K151/L151,2)</f>
        <v>243.98</v>
      </c>
    </row>
    <row r="152" customFormat="false" ht="15" hidden="false" customHeight="false" outlineLevel="0" collapsed="false">
      <c r="A152" s="14" t="n">
        <v>151</v>
      </c>
      <c r="B152" s="14" t="s">
        <v>139</v>
      </c>
      <c r="C152" s="14" t="s">
        <v>135</v>
      </c>
      <c r="D152" s="14" t="s">
        <v>128</v>
      </c>
      <c r="E152" s="14" t="s">
        <v>224</v>
      </c>
      <c r="F152" s="14" t="s">
        <v>158</v>
      </c>
      <c r="G152" s="14" t="n">
        <v>53132</v>
      </c>
      <c r="H152" s="14" t="s">
        <v>156</v>
      </c>
      <c r="I152" s="14" t="s">
        <v>137</v>
      </c>
      <c r="J152" s="14" t="s">
        <v>146</v>
      </c>
      <c r="K152" s="15" t="n">
        <v>171.55</v>
      </c>
      <c r="L152" s="14" t="n">
        <v>5</v>
      </c>
      <c r="M152" s="16" t="n">
        <v>0</v>
      </c>
      <c r="N152" s="15" t="n">
        <v>80.6285</v>
      </c>
      <c r="O152" s="17" t="str">
        <f aca="false">UPPER(LEFT(F152,3))&amp;"-"&amp;G152</f>
        <v>WIS-53132</v>
      </c>
      <c r="P152" s="17" t="str">
        <f aca="false">PROPER(TRIM(E152))</f>
        <v>Franklin</v>
      </c>
      <c r="Q152" s="17" t="str">
        <f aca="false">IFERROR(VLOOKUP(F152,Lookups!$A$2:$B$50,2,FALSE()),"Not found")</f>
        <v>Central</v>
      </c>
      <c r="R152" s="17" t="str">
        <f aca="false">IF(Q152=H152,"Match","Mismatch")</f>
        <v>Match</v>
      </c>
      <c r="S152" s="17" t="str">
        <f aca="false">IFERROR(INDEX(SubCatCat,MATCH(J152,SubCatName,0)),"Not found")</f>
        <v>Office Supplies</v>
      </c>
      <c r="T152" s="18" t="n">
        <f aca="false">IF(K152=0,0,N152/K152)</f>
        <v>0.47</v>
      </c>
      <c r="U152" s="17" t="str">
        <f aca="false">IF(N152&lt;0,"Loss",IF(T152&gt;=0.2,"High margin","Normal"))</f>
        <v>High margin</v>
      </c>
      <c r="V152" s="17" t="str">
        <f aca="false">IF(M152=0,"No discount",IF(M152&lt;=0.2,"Low",IF(M152&lt;=0.4,"Medium","High")))</f>
        <v>No discount</v>
      </c>
      <c r="W152" s="17" t="str">
        <f aca="false">IF(OR(B152="Same Day",B152="First Class"),"Fast","Standard")</f>
        <v>Standard</v>
      </c>
      <c r="X152" s="19" t="n">
        <f aca="false">ROUND(K152/L152,2)</f>
        <v>34.31</v>
      </c>
    </row>
    <row r="153" customFormat="false" ht="15" hidden="false" customHeight="false" outlineLevel="0" collapsed="false">
      <c r="A153" s="14" t="n">
        <v>152</v>
      </c>
      <c r="B153" s="14" t="s">
        <v>171</v>
      </c>
      <c r="C153" s="14" t="s">
        <v>153</v>
      </c>
      <c r="D153" s="14" t="s">
        <v>128</v>
      </c>
      <c r="E153" s="14" t="s">
        <v>225</v>
      </c>
      <c r="F153" s="14" t="s">
        <v>190</v>
      </c>
      <c r="G153" s="14" t="n">
        <v>85254</v>
      </c>
      <c r="H153" s="14" t="s">
        <v>3</v>
      </c>
      <c r="I153" s="14" t="s">
        <v>137</v>
      </c>
      <c r="J153" s="14" t="s">
        <v>147</v>
      </c>
      <c r="K153" s="15" t="n">
        <v>157.92</v>
      </c>
      <c r="L153" s="14" t="n">
        <v>5</v>
      </c>
      <c r="M153" s="16" t="n">
        <v>0.2</v>
      </c>
      <c r="N153" s="15" t="n">
        <v>17.766</v>
      </c>
      <c r="O153" s="17" t="str">
        <f aca="false">UPPER(LEFT(F153,3))&amp;"-"&amp;G153</f>
        <v>ARI-85254</v>
      </c>
      <c r="P153" s="17" t="str">
        <f aca="false">PROPER(TRIM(E153))</f>
        <v>Scottsdale</v>
      </c>
      <c r="Q153" s="17" t="str">
        <f aca="false">IFERROR(VLOOKUP(F153,Lookups!$A$2:$B$50,2,FALSE()),"Not found")</f>
        <v>West</v>
      </c>
      <c r="R153" s="17" t="str">
        <f aca="false">IF(Q153=H153,"Match","Mismatch")</f>
        <v>Match</v>
      </c>
      <c r="S153" s="17" t="str">
        <f aca="false">IFERROR(INDEX(SubCatCat,MATCH(J153,SubCatName,0)),"Not found")</f>
        <v>Office Supplies</v>
      </c>
      <c r="T153" s="18" t="n">
        <f aca="false">IF(K153=0,0,N153/K153)</f>
        <v>0.1125</v>
      </c>
      <c r="U153" s="17" t="str">
        <f aca="false">IF(N153&lt;0,"Loss",IF(T153&gt;=0.2,"High margin","Normal"))</f>
        <v>Normal</v>
      </c>
      <c r="V153" s="17" t="str">
        <f aca="false">IF(M153=0,"No discount",IF(M153&lt;=0.2,"Low",IF(M153&lt;=0.4,"Medium","High")))</f>
        <v>Low</v>
      </c>
      <c r="W153" s="17" t="str">
        <f aca="false">IF(OR(B153="Same Day",B153="First Class"),"Fast","Standard")</f>
        <v>Fast</v>
      </c>
      <c r="X153" s="19" t="n">
        <f aca="false">ROUND(K153/L153,2)</f>
        <v>31.58</v>
      </c>
    </row>
    <row r="154" customFormat="false" ht="15" hidden="false" customHeight="false" outlineLevel="0" collapsed="false">
      <c r="A154" s="14" t="n">
        <v>153</v>
      </c>
      <c r="B154" s="14" t="s">
        <v>171</v>
      </c>
      <c r="C154" s="14" t="s">
        <v>153</v>
      </c>
      <c r="D154" s="14" t="s">
        <v>128</v>
      </c>
      <c r="E154" s="14" t="s">
        <v>225</v>
      </c>
      <c r="F154" s="14" t="s">
        <v>190</v>
      </c>
      <c r="G154" s="14" t="n">
        <v>85254</v>
      </c>
      <c r="H154" s="14" t="s">
        <v>3</v>
      </c>
      <c r="I154" s="14" t="s">
        <v>5</v>
      </c>
      <c r="J154" s="14" t="s">
        <v>11</v>
      </c>
      <c r="K154" s="15" t="n">
        <v>203.184</v>
      </c>
      <c r="L154" s="14" t="n">
        <v>2</v>
      </c>
      <c r="M154" s="16" t="n">
        <v>0.2</v>
      </c>
      <c r="N154" s="15" t="n">
        <v>15.2388</v>
      </c>
      <c r="O154" s="17" t="str">
        <f aca="false">UPPER(LEFT(F154,3))&amp;"-"&amp;G154</f>
        <v>ARI-85254</v>
      </c>
      <c r="P154" s="17" t="str">
        <f aca="false">PROPER(TRIM(E154))</f>
        <v>Scottsdale</v>
      </c>
      <c r="Q154" s="17" t="str">
        <f aca="false">IFERROR(VLOOKUP(F154,Lookups!$A$2:$B$50,2,FALSE()),"Not found")</f>
        <v>West</v>
      </c>
      <c r="R154" s="17" t="str">
        <f aca="false">IF(Q154=H154,"Match","Mismatch")</f>
        <v>Match</v>
      </c>
      <c r="S154" s="17" t="str">
        <f aca="false">IFERROR(INDEX(SubCatCat,MATCH(J154,SubCatName,0)),"Not found")</f>
        <v>Technology</v>
      </c>
      <c r="T154" s="18" t="n">
        <f aca="false">IF(K154=0,0,N154/K154)</f>
        <v>0.075</v>
      </c>
      <c r="U154" s="17" t="str">
        <f aca="false">IF(N154&lt;0,"Loss",IF(T154&gt;=0.2,"High margin","Normal"))</f>
        <v>Normal</v>
      </c>
      <c r="V154" s="17" t="str">
        <f aca="false">IF(M154=0,"No discount",IF(M154&lt;=0.2,"Low",IF(M154&lt;=0.4,"Medium","High")))</f>
        <v>Low</v>
      </c>
      <c r="W154" s="17" t="str">
        <f aca="false">IF(OR(B154="Same Day",B154="First Class"),"Fast","Standard")</f>
        <v>Fast</v>
      </c>
      <c r="X154" s="19" t="n">
        <f aca="false">ROUND(K154/L154,2)</f>
        <v>101.59</v>
      </c>
    </row>
    <row r="155" customFormat="false" ht="15" hidden="false" customHeight="false" outlineLevel="0" collapsed="false">
      <c r="A155" s="14" t="n">
        <v>154</v>
      </c>
      <c r="B155" s="14" t="s">
        <v>171</v>
      </c>
      <c r="C155" s="14" t="s">
        <v>135</v>
      </c>
      <c r="D155" s="14" t="s">
        <v>128</v>
      </c>
      <c r="E155" s="14" t="s">
        <v>226</v>
      </c>
      <c r="F155" s="14" t="s">
        <v>9</v>
      </c>
      <c r="G155" s="14" t="n">
        <v>95123</v>
      </c>
      <c r="H155" s="14" t="s">
        <v>3</v>
      </c>
      <c r="I155" s="14" t="s">
        <v>137</v>
      </c>
      <c r="J155" s="14" t="s">
        <v>150</v>
      </c>
      <c r="K155" s="15" t="n">
        <v>58.38</v>
      </c>
      <c r="L155" s="14" t="n">
        <v>7</v>
      </c>
      <c r="M155" s="16" t="n">
        <v>0</v>
      </c>
      <c r="N155" s="15" t="n">
        <v>26.271</v>
      </c>
      <c r="O155" s="17" t="str">
        <f aca="false">UPPER(LEFT(F155,3))&amp;"-"&amp;G155</f>
        <v>CAL-95123</v>
      </c>
      <c r="P155" s="17" t="str">
        <f aca="false">PROPER(TRIM(E155))</f>
        <v>San Jose</v>
      </c>
      <c r="Q155" s="17" t="str">
        <f aca="false">IFERROR(VLOOKUP(F155,Lookups!$A$2:$B$50,2,FALSE()),"Not found")</f>
        <v>West</v>
      </c>
      <c r="R155" s="17" t="str">
        <f aca="false">IF(Q155=H155,"Match","Mismatch")</f>
        <v>Match</v>
      </c>
      <c r="S155" s="17" t="str">
        <f aca="false">IFERROR(INDEX(SubCatCat,MATCH(J155,SubCatName,0)),"Not found")</f>
        <v>Office Supplies</v>
      </c>
      <c r="T155" s="18" t="n">
        <f aca="false">IF(K155=0,0,N155/K155)</f>
        <v>0.45</v>
      </c>
      <c r="U155" s="17" t="str">
        <f aca="false">IF(N155&lt;0,"Loss",IF(T155&gt;=0.2,"High margin","Normal"))</f>
        <v>High margin</v>
      </c>
      <c r="V155" s="17" t="str">
        <f aca="false">IF(M155=0,"No discount",IF(M155&lt;=0.2,"Low",IF(M155&lt;=0.4,"Medium","High")))</f>
        <v>No discount</v>
      </c>
      <c r="W155" s="17" t="str">
        <f aca="false">IF(OR(B155="Same Day",B155="First Class"),"Fast","Standard")</f>
        <v>Fast</v>
      </c>
      <c r="X155" s="19" t="n">
        <f aca="false">ROUND(K155/L155,2)</f>
        <v>8.34</v>
      </c>
    </row>
    <row r="156" customFormat="false" ht="15" hidden="false" customHeight="false" outlineLevel="0" collapsed="false">
      <c r="A156" s="14" t="n">
        <v>155</v>
      </c>
      <c r="B156" s="14" t="s">
        <v>171</v>
      </c>
      <c r="C156" s="14" t="s">
        <v>135</v>
      </c>
      <c r="D156" s="14" t="s">
        <v>128</v>
      </c>
      <c r="E156" s="14" t="s">
        <v>226</v>
      </c>
      <c r="F156" s="14" t="s">
        <v>9</v>
      </c>
      <c r="G156" s="14" t="n">
        <v>95123</v>
      </c>
      <c r="H156" s="14" t="s">
        <v>3</v>
      </c>
      <c r="I156" s="14" t="s">
        <v>137</v>
      </c>
      <c r="J156" s="14" t="s">
        <v>150</v>
      </c>
      <c r="K156" s="15" t="n">
        <v>105.52</v>
      </c>
      <c r="L156" s="14" t="n">
        <v>4</v>
      </c>
      <c r="M156" s="16" t="n">
        <v>0</v>
      </c>
      <c r="N156" s="15" t="n">
        <v>48.5392</v>
      </c>
      <c r="O156" s="17" t="str">
        <f aca="false">UPPER(LEFT(F156,3))&amp;"-"&amp;G156</f>
        <v>CAL-95123</v>
      </c>
      <c r="P156" s="17" t="str">
        <f aca="false">PROPER(TRIM(E156))</f>
        <v>San Jose</v>
      </c>
      <c r="Q156" s="17" t="str">
        <f aca="false">IFERROR(VLOOKUP(F156,Lookups!$A$2:$B$50,2,FALSE()),"Not found")</f>
        <v>West</v>
      </c>
      <c r="R156" s="17" t="str">
        <f aca="false">IF(Q156=H156,"Match","Mismatch")</f>
        <v>Match</v>
      </c>
      <c r="S156" s="17" t="str">
        <f aca="false">IFERROR(INDEX(SubCatCat,MATCH(J156,SubCatName,0)),"Not found")</f>
        <v>Office Supplies</v>
      </c>
      <c r="T156" s="18" t="n">
        <f aca="false">IF(K156=0,0,N156/K156)</f>
        <v>0.46</v>
      </c>
      <c r="U156" s="17" t="str">
        <f aca="false">IF(N156&lt;0,"Loss",IF(T156&gt;=0.2,"High margin","Normal"))</f>
        <v>High margin</v>
      </c>
      <c r="V156" s="17" t="str">
        <f aca="false">IF(M156=0,"No discount",IF(M156&lt;=0.2,"Low",IF(M156&lt;=0.4,"Medium","High")))</f>
        <v>No discount</v>
      </c>
      <c r="W156" s="17" t="str">
        <f aca="false">IF(OR(B156="Same Day",B156="First Class"),"Fast","Standard")</f>
        <v>Fast</v>
      </c>
      <c r="X156" s="19" t="n">
        <f aca="false">ROUND(K156/L156,2)</f>
        <v>26.38</v>
      </c>
    </row>
    <row r="157" customFormat="false" ht="15" hidden="false" customHeight="false" outlineLevel="0" collapsed="false">
      <c r="A157" s="14" t="n">
        <v>156</v>
      </c>
      <c r="B157" s="14" t="s">
        <v>171</v>
      </c>
      <c r="C157" s="14" t="s">
        <v>135</v>
      </c>
      <c r="D157" s="14" t="s">
        <v>128</v>
      </c>
      <c r="E157" s="14" t="s">
        <v>226</v>
      </c>
      <c r="F157" s="14" t="s">
        <v>9</v>
      </c>
      <c r="G157" s="14" t="n">
        <v>95123</v>
      </c>
      <c r="H157" s="14" t="s">
        <v>3</v>
      </c>
      <c r="I157" s="14" t="s">
        <v>137</v>
      </c>
      <c r="J157" s="14" t="s">
        <v>143</v>
      </c>
      <c r="K157" s="15" t="n">
        <v>80.88</v>
      </c>
      <c r="L157" s="14" t="n">
        <v>6</v>
      </c>
      <c r="M157" s="16" t="n">
        <v>0</v>
      </c>
      <c r="N157" s="15" t="n">
        <v>21.0288</v>
      </c>
      <c r="O157" s="17" t="str">
        <f aca="false">UPPER(LEFT(F157,3))&amp;"-"&amp;G157</f>
        <v>CAL-95123</v>
      </c>
      <c r="P157" s="17" t="str">
        <f aca="false">PROPER(TRIM(E157))</f>
        <v>San Jose</v>
      </c>
      <c r="Q157" s="17" t="str">
        <f aca="false">IFERROR(VLOOKUP(F157,Lookups!$A$2:$B$50,2,FALSE()),"Not found")</f>
        <v>West</v>
      </c>
      <c r="R157" s="17" t="str">
        <f aca="false">IF(Q157=H157,"Match","Mismatch")</f>
        <v>Match</v>
      </c>
      <c r="S157" s="17" t="str">
        <f aca="false">IFERROR(INDEX(SubCatCat,MATCH(J157,SubCatName,0)),"Not found")</f>
        <v>Office Supplies</v>
      </c>
      <c r="T157" s="18" t="n">
        <f aca="false">IF(K157=0,0,N157/K157)</f>
        <v>0.26</v>
      </c>
      <c r="U157" s="17" t="str">
        <f aca="false">IF(N157&lt;0,"Loss",IF(T157&gt;=0.2,"High margin","Normal"))</f>
        <v>High margin</v>
      </c>
      <c r="V157" s="17" t="str">
        <f aca="false">IF(M157=0,"No discount",IF(M157&lt;=0.2,"Low",IF(M157&lt;=0.4,"Medium","High")))</f>
        <v>No discount</v>
      </c>
      <c r="W157" s="17" t="str">
        <f aca="false">IF(OR(B157="Same Day",B157="First Class"),"Fast","Standard")</f>
        <v>Fast</v>
      </c>
      <c r="X157" s="19" t="n">
        <f aca="false">ROUND(K157/L157,2)</f>
        <v>13.48</v>
      </c>
    </row>
    <row r="158" customFormat="false" ht="15" hidden="false" customHeight="false" outlineLevel="0" collapsed="false">
      <c r="A158" s="14" t="n">
        <v>157</v>
      </c>
      <c r="B158" s="14" t="s">
        <v>139</v>
      </c>
      <c r="C158" s="14" t="s">
        <v>153</v>
      </c>
      <c r="D158" s="14" t="s">
        <v>128</v>
      </c>
      <c r="E158" s="14" t="s">
        <v>151</v>
      </c>
      <c r="F158" s="14" t="s">
        <v>152</v>
      </c>
      <c r="G158" s="14" t="n">
        <v>98105</v>
      </c>
      <c r="H158" s="14" t="s">
        <v>3</v>
      </c>
      <c r="I158" s="14" t="s">
        <v>137</v>
      </c>
      <c r="J158" s="14" t="s">
        <v>145</v>
      </c>
      <c r="K158" s="15" t="n">
        <v>6.63</v>
      </c>
      <c r="L158" s="14" t="n">
        <v>3</v>
      </c>
      <c r="M158" s="16" t="n">
        <v>0</v>
      </c>
      <c r="N158" s="15" t="n">
        <v>1.7901</v>
      </c>
      <c r="O158" s="17" t="str">
        <f aca="false">UPPER(LEFT(F158,3))&amp;"-"&amp;G158</f>
        <v>WAS-98105</v>
      </c>
      <c r="P158" s="17" t="str">
        <f aca="false">PROPER(TRIM(E158))</f>
        <v>Seattle</v>
      </c>
      <c r="Q158" s="17" t="str">
        <f aca="false">IFERROR(VLOOKUP(F158,Lookups!$A$2:$B$50,2,FALSE()),"Not found")</f>
        <v>West</v>
      </c>
      <c r="R158" s="17" t="str">
        <f aca="false">IF(Q158=H158,"Match","Mismatch")</f>
        <v>Match</v>
      </c>
      <c r="S158" s="17" t="str">
        <f aca="false">IFERROR(INDEX(SubCatCat,MATCH(J158,SubCatName,0)),"Not found")</f>
        <v>Office Supplies</v>
      </c>
      <c r="T158" s="18" t="n">
        <f aca="false">IF(K158=0,0,N158/K158)</f>
        <v>0.27</v>
      </c>
      <c r="U158" s="17" t="str">
        <f aca="false">IF(N158&lt;0,"Loss",IF(T158&gt;=0.2,"High margin","Normal"))</f>
        <v>High margin</v>
      </c>
      <c r="V158" s="17" t="str">
        <f aca="false">IF(M158=0,"No discount",IF(M158&lt;=0.2,"Low",IF(M158&lt;=0.4,"Medium","High")))</f>
        <v>No discount</v>
      </c>
      <c r="W158" s="17" t="str">
        <f aca="false">IF(OR(B158="Same Day",B158="First Class"),"Fast","Standard")</f>
        <v>Standard</v>
      </c>
      <c r="X158" s="19" t="n">
        <f aca="false">ROUND(K158/L158,2)</f>
        <v>2.21</v>
      </c>
    </row>
    <row r="159" customFormat="false" ht="15" hidden="false" customHeight="false" outlineLevel="0" collapsed="false">
      <c r="A159" s="14" t="n">
        <v>158</v>
      </c>
      <c r="B159" s="14" t="s">
        <v>127</v>
      </c>
      <c r="C159" s="14" t="s">
        <v>7</v>
      </c>
      <c r="D159" s="14" t="s">
        <v>128</v>
      </c>
      <c r="E159" s="14" t="s">
        <v>151</v>
      </c>
      <c r="F159" s="14" t="s">
        <v>152</v>
      </c>
      <c r="G159" s="14" t="n">
        <v>98115</v>
      </c>
      <c r="H159" s="14" t="s">
        <v>3</v>
      </c>
      <c r="I159" s="14" t="s">
        <v>132</v>
      </c>
      <c r="J159" s="14" t="s">
        <v>134</v>
      </c>
      <c r="K159" s="15" t="n">
        <v>457.568</v>
      </c>
      <c r="L159" s="14" t="n">
        <v>2</v>
      </c>
      <c r="M159" s="16" t="n">
        <v>0.2</v>
      </c>
      <c r="N159" s="15" t="n">
        <v>51.4764</v>
      </c>
      <c r="O159" s="17" t="str">
        <f aca="false">UPPER(LEFT(F159,3))&amp;"-"&amp;G159</f>
        <v>WAS-98115</v>
      </c>
      <c r="P159" s="17" t="str">
        <f aca="false">PROPER(TRIM(E159))</f>
        <v>Seattle</v>
      </c>
      <c r="Q159" s="17" t="str">
        <f aca="false">IFERROR(VLOOKUP(F159,Lookups!$A$2:$B$50,2,FALSE()),"Not found")</f>
        <v>West</v>
      </c>
      <c r="R159" s="17" t="str">
        <f aca="false">IF(Q159=H159,"Match","Mismatch")</f>
        <v>Match</v>
      </c>
      <c r="S159" s="17" t="str">
        <f aca="false">IFERROR(INDEX(SubCatCat,MATCH(J159,SubCatName,0)),"Not found")</f>
        <v>Furniture</v>
      </c>
      <c r="T159" s="18" t="n">
        <f aca="false">IF(K159=0,0,N159/K159)</f>
        <v>0.1125</v>
      </c>
      <c r="U159" s="17" t="str">
        <f aca="false">IF(N159&lt;0,"Loss",IF(T159&gt;=0.2,"High margin","Normal"))</f>
        <v>Normal</v>
      </c>
      <c r="V159" s="17" t="str">
        <f aca="false">IF(M159=0,"No discount",IF(M159&lt;=0.2,"Low",IF(M159&lt;=0.4,"Medium","High")))</f>
        <v>Low</v>
      </c>
      <c r="W159" s="17" t="str">
        <f aca="false">IF(OR(B159="Same Day",B159="First Class"),"Fast","Standard")</f>
        <v>Standard</v>
      </c>
      <c r="X159" s="19" t="n">
        <f aca="false">ROUND(K159/L159,2)</f>
        <v>228.78</v>
      </c>
    </row>
    <row r="160" customFormat="false" ht="15" hidden="false" customHeight="false" outlineLevel="0" collapsed="false">
      <c r="A160" s="14" t="n">
        <v>159</v>
      </c>
      <c r="B160" s="14" t="s">
        <v>139</v>
      </c>
      <c r="C160" s="14" t="s">
        <v>7</v>
      </c>
      <c r="D160" s="14" t="s">
        <v>128</v>
      </c>
      <c r="E160" s="14" t="s">
        <v>227</v>
      </c>
      <c r="F160" s="14" t="s">
        <v>228</v>
      </c>
      <c r="G160" s="14" t="n">
        <v>73034</v>
      </c>
      <c r="H160" s="14" t="s">
        <v>156</v>
      </c>
      <c r="I160" s="14" t="s">
        <v>137</v>
      </c>
      <c r="J160" s="14" t="s">
        <v>138</v>
      </c>
      <c r="K160" s="15" t="n">
        <v>14.62</v>
      </c>
      <c r="L160" s="14" t="n">
        <v>2</v>
      </c>
      <c r="M160" s="16" t="n">
        <v>0</v>
      </c>
      <c r="N160" s="15" t="n">
        <v>6.8714</v>
      </c>
      <c r="O160" s="17" t="str">
        <f aca="false">UPPER(LEFT(F160,3))&amp;"-"&amp;G160</f>
        <v>OKL-73034</v>
      </c>
      <c r="P160" s="17" t="str">
        <f aca="false">PROPER(TRIM(E160))</f>
        <v>Edmond</v>
      </c>
      <c r="Q160" s="17" t="str">
        <f aca="false">IFERROR(VLOOKUP(F160,Lookups!$A$2:$B$50,2,FALSE()),"Not found")</f>
        <v>Central</v>
      </c>
      <c r="R160" s="17" t="str">
        <f aca="false">IF(Q160=H160,"Match","Mismatch")</f>
        <v>Match</v>
      </c>
      <c r="S160" s="17" t="str">
        <f aca="false">IFERROR(INDEX(SubCatCat,MATCH(J160,SubCatName,0)),"Not found")</f>
        <v>Office Supplies</v>
      </c>
      <c r="T160" s="18" t="n">
        <f aca="false">IF(K160=0,0,N160/K160)</f>
        <v>0.47</v>
      </c>
      <c r="U160" s="17" t="str">
        <f aca="false">IF(N160&lt;0,"Loss",IF(T160&gt;=0.2,"High margin","Normal"))</f>
        <v>High margin</v>
      </c>
      <c r="V160" s="17" t="str">
        <f aca="false">IF(M160=0,"No discount",IF(M160&lt;=0.2,"Low",IF(M160&lt;=0.4,"Medium","High")))</f>
        <v>No discount</v>
      </c>
      <c r="W160" s="17" t="str">
        <f aca="false">IF(OR(B160="Same Day",B160="First Class"),"Fast","Standard")</f>
        <v>Standard</v>
      </c>
      <c r="X160" s="19" t="n">
        <f aca="false">ROUND(K160/L160,2)</f>
        <v>7.31</v>
      </c>
    </row>
    <row r="161" customFormat="false" ht="15" hidden="false" customHeight="false" outlineLevel="0" collapsed="false">
      <c r="A161" s="14" t="n">
        <v>160</v>
      </c>
      <c r="B161" s="14" t="s">
        <v>139</v>
      </c>
      <c r="C161" s="14" t="s">
        <v>7</v>
      </c>
      <c r="D161" s="14" t="s">
        <v>128</v>
      </c>
      <c r="E161" s="14" t="s">
        <v>227</v>
      </c>
      <c r="F161" s="14" t="s">
        <v>228</v>
      </c>
      <c r="G161" s="14" t="n">
        <v>73034</v>
      </c>
      <c r="H161" s="14" t="s">
        <v>156</v>
      </c>
      <c r="I161" s="14" t="s">
        <v>5</v>
      </c>
      <c r="J161" s="14" t="s">
        <v>11</v>
      </c>
      <c r="K161" s="15" t="n">
        <v>944.93</v>
      </c>
      <c r="L161" s="14" t="n">
        <v>7</v>
      </c>
      <c r="M161" s="16" t="n">
        <v>0</v>
      </c>
      <c r="N161" s="15" t="n">
        <v>236.2325</v>
      </c>
      <c r="O161" s="17" t="str">
        <f aca="false">UPPER(LEFT(F161,3))&amp;"-"&amp;G161</f>
        <v>OKL-73034</v>
      </c>
      <c r="P161" s="17" t="str">
        <f aca="false">PROPER(TRIM(E161))</f>
        <v>Edmond</v>
      </c>
      <c r="Q161" s="17" t="str">
        <f aca="false">IFERROR(VLOOKUP(F161,Lookups!$A$2:$B$50,2,FALSE()),"Not found")</f>
        <v>Central</v>
      </c>
      <c r="R161" s="17" t="str">
        <f aca="false">IF(Q161=H161,"Match","Mismatch")</f>
        <v>Match</v>
      </c>
      <c r="S161" s="17" t="str">
        <f aca="false">IFERROR(INDEX(SubCatCat,MATCH(J161,SubCatName,0)),"Not found")</f>
        <v>Technology</v>
      </c>
      <c r="T161" s="18" t="n">
        <f aca="false">IF(K161=0,0,N161/K161)</f>
        <v>0.25</v>
      </c>
      <c r="U161" s="17" t="str">
        <f aca="false">IF(N161&lt;0,"Loss",IF(T161&gt;=0.2,"High margin","Normal"))</f>
        <v>High margin</v>
      </c>
      <c r="V161" s="17" t="str">
        <f aca="false">IF(M161=0,"No discount",IF(M161&lt;=0.2,"Low",IF(M161&lt;=0.4,"Medium","High")))</f>
        <v>No discount</v>
      </c>
      <c r="W161" s="17" t="str">
        <f aca="false">IF(OR(B161="Same Day",B161="First Class"),"Fast","Standard")</f>
        <v>Standard</v>
      </c>
      <c r="X161" s="19" t="n">
        <f aca="false">ROUND(K161/L161,2)</f>
        <v>134.99</v>
      </c>
    </row>
    <row r="162" customFormat="false" ht="15" hidden="false" customHeight="false" outlineLevel="0" collapsed="false">
      <c r="A162" s="14" t="n">
        <v>161</v>
      </c>
      <c r="B162" s="14" t="s">
        <v>171</v>
      </c>
      <c r="C162" s="14" t="s">
        <v>7</v>
      </c>
      <c r="D162" s="14" t="s">
        <v>128</v>
      </c>
      <c r="E162" s="14" t="s">
        <v>136</v>
      </c>
      <c r="F162" s="14" t="s">
        <v>9</v>
      </c>
      <c r="G162" s="14" t="n">
        <v>90045</v>
      </c>
      <c r="H162" s="14" t="s">
        <v>3</v>
      </c>
      <c r="I162" s="14" t="s">
        <v>137</v>
      </c>
      <c r="J162" s="14" t="s">
        <v>150</v>
      </c>
      <c r="K162" s="15" t="n">
        <v>5.98</v>
      </c>
      <c r="L162" s="14" t="n">
        <v>1</v>
      </c>
      <c r="M162" s="16" t="n">
        <v>0</v>
      </c>
      <c r="N162" s="15" t="n">
        <v>2.691</v>
      </c>
      <c r="O162" s="17" t="str">
        <f aca="false">UPPER(LEFT(F162,3))&amp;"-"&amp;G162</f>
        <v>CAL-90045</v>
      </c>
      <c r="P162" s="17" t="str">
        <f aca="false">PROPER(TRIM(E162))</f>
        <v>Los Angeles</v>
      </c>
      <c r="Q162" s="17" t="str">
        <f aca="false">IFERROR(VLOOKUP(F162,Lookups!$A$2:$B$50,2,FALSE()),"Not found")</f>
        <v>West</v>
      </c>
      <c r="R162" s="17" t="str">
        <f aca="false">IF(Q162=H162,"Match","Mismatch")</f>
        <v>Match</v>
      </c>
      <c r="S162" s="17" t="str">
        <f aca="false">IFERROR(INDEX(SubCatCat,MATCH(J162,SubCatName,0)),"Not found")</f>
        <v>Office Supplies</v>
      </c>
      <c r="T162" s="18" t="n">
        <f aca="false">IF(K162=0,0,N162/K162)</f>
        <v>0.45</v>
      </c>
      <c r="U162" s="17" t="str">
        <f aca="false">IF(N162&lt;0,"Loss",IF(T162&gt;=0.2,"High margin","Normal"))</f>
        <v>High margin</v>
      </c>
      <c r="V162" s="17" t="str">
        <f aca="false">IF(M162=0,"No discount",IF(M162&lt;=0.2,"Low",IF(M162&lt;=0.4,"Medium","High")))</f>
        <v>No discount</v>
      </c>
      <c r="W162" s="17" t="str">
        <f aca="false">IF(OR(B162="Same Day",B162="First Class"),"Fast","Standard")</f>
        <v>Fast</v>
      </c>
      <c r="X162" s="19" t="n">
        <f aca="false">ROUND(K162/L162,2)</f>
        <v>5.98</v>
      </c>
    </row>
    <row r="163" customFormat="false" ht="15" hidden="false" customHeight="false" outlineLevel="0" collapsed="false">
      <c r="A163" s="14" t="n">
        <v>162</v>
      </c>
      <c r="B163" s="14" t="s">
        <v>127</v>
      </c>
      <c r="C163" s="14" t="s">
        <v>7</v>
      </c>
      <c r="D163" s="14" t="s">
        <v>128</v>
      </c>
      <c r="E163" s="14" t="s">
        <v>164</v>
      </c>
      <c r="F163" s="14" t="s">
        <v>165</v>
      </c>
      <c r="G163" s="14" t="n">
        <v>19134</v>
      </c>
      <c r="H163" s="14" t="s">
        <v>166</v>
      </c>
      <c r="I163" s="14" t="s">
        <v>5</v>
      </c>
      <c r="J163" s="14" t="s">
        <v>168</v>
      </c>
      <c r="K163" s="15" t="n">
        <v>54.384</v>
      </c>
      <c r="L163" s="14" t="n">
        <v>2</v>
      </c>
      <c r="M163" s="16" t="n">
        <v>0.2</v>
      </c>
      <c r="N163" s="15" t="n">
        <v>1.3596</v>
      </c>
      <c r="O163" s="17" t="str">
        <f aca="false">UPPER(LEFT(F163,3))&amp;"-"&amp;G163</f>
        <v>PEN-19134</v>
      </c>
      <c r="P163" s="17" t="str">
        <f aca="false">PROPER(TRIM(E163))</f>
        <v>Philadelphia</v>
      </c>
      <c r="Q163" s="17" t="str">
        <f aca="false">IFERROR(VLOOKUP(F163,Lookups!$A$2:$B$50,2,FALSE()),"Not found")</f>
        <v>East</v>
      </c>
      <c r="R163" s="17" t="str">
        <f aca="false">IF(Q163=H163,"Match","Mismatch")</f>
        <v>Match</v>
      </c>
      <c r="S163" s="17" t="str">
        <f aca="false">IFERROR(INDEX(SubCatCat,MATCH(J163,SubCatName,0)),"Not found")</f>
        <v>Technology</v>
      </c>
      <c r="T163" s="18" t="n">
        <f aca="false">IF(K163=0,0,N163/K163)</f>
        <v>0.025</v>
      </c>
      <c r="U163" s="17" t="str">
        <f aca="false">IF(N163&lt;0,"Loss",IF(T163&gt;=0.2,"High margin","Normal"))</f>
        <v>Normal</v>
      </c>
      <c r="V163" s="17" t="str">
        <f aca="false">IF(M163=0,"No discount",IF(M163&lt;=0.2,"Low",IF(M163&lt;=0.4,"Medium","High")))</f>
        <v>Low</v>
      </c>
      <c r="W163" s="17" t="str">
        <f aca="false">IF(OR(B163="Same Day",B163="First Class"),"Fast","Standard")</f>
        <v>Standard</v>
      </c>
      <c r="X163" s="19" t="n">
        <f aca="false">ROUND(K163/L163,2)</f>
        <v>27.19</v>
      </c>
    </row>
    <row r="164" customFormat="false" ht="15" hidden="false" customHeight="false" outlineLevel="0" collapsed="false">
      <c r="A164" s="14" t="n">
        <v>163</v>
      </c>
      <c r="B164" s="14" t="s">
        <v>139</v>
      </c>
      <c r="C164" s="14" t="s">
        <v>7</v>
      </c>
      <c r="D164" s="14" t="s">
        <v>128</v>
      </c>
      <c r="E164" s="14" t="s">
        <v>229</v>
      </c>
      <c r="F164" s="14" t="s">
        <v>230</v>
      </c>
      <c r="G164" s="14" t="n">
        <v>88220</v>
      </c>
      <c r="H164" s="14" t="s">
        <v>3</v>
      </c>
      <c r="I164" s="14" t="s">
        <v>137</v>
      </c>
      <c r="J164" s="14" t="s">
        <v>169</v>
      </c>
      <c r="K164" s="15" t="n">
        <v>28.4</v>
      </c>
      <c r="L164" s="14" t="n">
        <v>5</v>
      </c>
      <c r="M164" s="16" t="n">
        <v>0</v>
      </c>
      <c r="N164" s="15" t="n">
        <v>13.348</v>
      </c>
      <c r="O164" s="17" t="str">
        <f aca="false">UPPER(LEFT(F164,3))&amp;"-"&amp;G164</f>
        <v>NEW-88220</v>
      </c>
      <c r="P164" s="17" t="str">
        <f aca="false">PROPER(TRIM(E164))</f>
        <v>Carlsbad</v>
      </c>
      <c r="Q164" s="17" t="str">
        <f aca="false">IFERROR(VLOOKUP(F164,Lookups!$A$2:$B$50,2,FALSE()),"Not found")</f>
        <v>West</v>
      </c>
      <c r="R164" s="17" t="str">
        <f aca="false">IF(Q164=H164,"Match","Mismatch")</f>
        <v>Match</v>
      </c>
      <c r="S164" s="17" t="str">
        <f aca="false">IFERROR(INDEX(SubCatCat,MATCH(J164,SubCatName,0)),"Not found")</f>
        <v>Office Supplies</v>
      </c>
      <c r="T164" s="18" t="n">
        <f aca="false">IF(K164=0,0,N164/K164)</f>
        <v>0.47</v>
      </c>
      <c r="U164" s="17" t="str">
        <f aca="false">IF(N164&lt;0,"Loss",IF(T164&gt;=0.2,"High margin","Normal"))</f>
        <v>High margin</v>
      </c>
      <c r="V164" s="17" t="str">
        <f aca="false">IF(M164=0,"No discount",IF(M164&lt;=0.2,"Low",IF(M164&lt;=0.4,"Medium","High")))</f>
        <v>No discount</v>
      </c>
      <c r="W164" s="17" t="str">
        <f aca="false">IF(OR(B164="Same Day",B164="First Class"),"Fast","Standard")</f>
        <v>Standard</v>
      </c>
      <c r="X164" s="19" t="n">
        <f aca="false">ROUND(K164/L164,2)</f>
        <v>5.68</v>
      </c>
    </row>
    <row r="165" customFormat="false" ht="15" hidden="false" customHeight="false" outlineLevel="0" collapsed="false">
      <c r="A165" s="14" t="n">
        <v>164</v>
      </c>
      <c r="B165" s="14" t="s">
        <v>139</v>
      </c>
      <c r="C165" s="14" t="s">
        <v>7</v>
      </c>
      <c r="D165" s="14" t="s">
        <v>128</v>
      </c>
      <c r="E165" s="14" t="s">
        <v>151</v>
      </c>
      <c r="F165" s="14" t="s">
        <v>152</v>
      </c>
      <c r="G165" s="14" t="n">
        <v>98115</v>
      </c>
      <c r="H165" s="14" t="s">
        <v>3</v>
      </c>
      <c r="I165" s="14" t="s">
        <v>137</v>
      </c>
      <c r="J165" s="14" t="s">
        <v>146</v>
      </c>
      <c r="K165" s="15" t="n">
        <v>27.68</v>
      </c>
      <c r="L165" s="14" t="n">
        <v>2</v>
      </c>
      <c r="M165" s="16" t="n">
        <v>0.2</v>
      </c>
      <c r="N165" s="15" t="n">
        <v>9.688</v>
      </c>
      <c r="O165" s="17" t="str">
        <f aca="false">UPPER(LEFT(F165,3))&amp;"-"&amp;G165</f>
        <v>WAS-98115</v>
      </c>
      <c r="P165" s="17" t="str">
        <f aca="false">PROPER(TRIM(E165))</f>
        <v>Seattle</v>
      </c>
      <c r="Q165" s="17" t="str">
        <f aca="false">IFERROR(VLOOKUP(F165,Lookups!$A$2:$B$50,2,FALSE()),"Not found")</f>
        <v>West</v>
      </c>
      <c r="R165" s="17" t="str">
        <f aca="false">IF(Q165=H165,"Match","Mismatch")</f>
        <v>Match</v>
      </c>
      <c r="S165" s="17" t="str">
        <f aca="false">IFERROR(INDEX(SubCatCat,MATCH(J165,SubCatName,0)),"Not found")</f>
        <v>Office Supplies</v>
      </c>
      <c r="T165" s="18" t="n">
        <f aca="false">IF(K165=0,0,N165/K165)</f>
        <v>0.35</v>
      </c>
      <c r="U165" s="17" t="str">
        <f aca="false">IF(N165&lt;0,"Loss",IF(T165&gt;=0.2,"High margin","Normal"))</f>
        <v>High margin</v>
      </c>
      <c r="V165" s="17" t="str">
        <f aca="false">IF(M165=0,"No discount",IF(M165&lt;=0.2,"Low",IF(M165&lt;=0.4,"Medium","High")))</f>
        <v>Low</v>
      </c>
      <c r="W165" s="17" t="str">
        <f aca="false">IF(OR(B165="Same Day",B165="First Class"),"Fast","Standard")</f>
        <v>Standard</v>
      </c>
      <c r="X165" s="19" t="n">
        <f aca="false">ROUND(K165/L165,2)</f>
        <v>13.84</v>
      </c>
    </row>
    <row r="166" customFormat="false" ht="15" hidden="false" customHeight="false" outlineLevel="0" collapsed="false">
      <c r="A166" s="14" t="n">
        <v>165</v>
      </c>
      <c r="B166" s="14" t="s">
        <v>139</v>
      </c>
      <c r="C166" s="14" t="s">
        <v>7</v>
      </c>
      <c r="D166" s="14" t="s">
        <v>128</v>
      </c>
      <c r="E166" s="14" t="s">
        <v>231</v>
      </c>
      <c r="F166" s="14" t="s">
        <v>155</v>
      </c>
      <c r="G166" s="14" t="n">
        <v>78207</v>
      </c>
      <c r="H166" s="14" t="s">
        <v>156</v>
      </c>
      <c r="I166" s="14" t="s">
        <v>137</v>
      </c>
      <c r="J166" s="14" t="s">
        <v>145</v>
      </c>
      <c r="K166" s="15" t="n">
        <v>9.936</v>
      </c>
      <c r="L166" s="14" t="n">
        <v>3</v>
      </c>
      <c r="M166" s="16" t="n">
        <v>0.2</v>
      </c>
      <c r="N166" s="15" t="n">
        <v>2.7324</v>
      </c>
      <c r="O166" s="17" t="str">
        <f aca="false">UPPER(LEFT(F166,3))&amp;"-"&amp;G166</f>
        <v>TEX-78207</v>
      </c>
      <c r="P166" s="17" t="str">
        <f aca="false">PROPER(TRIM(E166))</f>
        <v>San Antonio</v>
      </c>
      <c r="Q166" s="17" t="str">
        <f aca="false">IFERROR(VLOOKUP(F166,Lookups!$A$2:$B$50,2,FALSE()),"Not found")</f>
        <v>Central</v>
      </c>
      <c r="R166" s="17" t="str">
        <f aca="false">IF(Q166=H166,"Match","Mismatch")</f>
        <v>Match</v>
      </c>
      <c r="S166" s="17" t="str">
        <f aca="false">IFERROR(INDEX(SubCatCat,MATCH(J166,SubCatName,0)),"Not found")</f>
        <v>Office Supplies</v>
      </c>
      <c r="T166" s="18" t="n">
        <f aca="false">IF(K166=0,0,N166/K166)</f>
        <v>0.275</v>
      </c>
      <c r="U166" s="17" t="str">
        <f aca="false">IF(N166&lt;0,"Loss",IF(T166&gt;=0.2,"High margin","Normal"))</f>
        <v>High margin</v>
      </c>
      <c r="V166" s="17" t="str">
        <f aca="false">IF(M166=0,"No discount",IF(M166&lt;=0.2,"Low",IF(M166&lt;=0.4,"Medium","High")))</f>
        <v>Low</v>
      </c>
      <c r="W166" s="17" t="str">
        <f aca="false">IF(OR(B166="Same Day",B166="First Class"),"Fast","Standard")</f>
        <v>Standard</v>
      </c>
      <c r="X166" s="19" t="n">
        <f aca="false">ROUND(K166/L166,2)</f>
        <v>3.31</v>
      </c>
    </row>
    <row r="167" customFormat="false" ht="15" hidden="false" customHeight="false" outlineLevel="0" collapsed="false">
      <c r="A167" s="14" t="n">
        <v>166</v>
      </c>
      <c r="B167" s="14" t="s">
        <v>139</v>
      </c>
      <c r="C167" s="14" t="s">
        <v>7</v>
      </c>
      <c r="D167" s="14" t="s">
        <v>128</v>
      </c>
      <c r="E167" s="14" t="s">
        <v>231</v>
      </c>
      <c r="F167" s="14" t="s">
        <v>155</v>
      </c>
      <c r="G167" s="14" t="n">
        <v>78207</v>
      </c>
      <c r="H167" s="14" t="s">
        <v>156</v>
      </c>
      <c r="I167" s="14" t="s">
        <v>5</v>
      </c>
      <c r="J167" s="14" t="s">
        <v>232</v>
      </c>
      <c r="K167" s="15" t="n">
        <v>8159.952</v>
      </c>
      <c r="L167" s="14" t="n">
        <v>8</v>
      </c>
      <c r="M167" s="16" t="n">
        <v>0.4</v>
      </c>
      <c r="N167" s="15" t="n">
        <v>-1359.992</v>
      </c>
      <c r="O167" s="17" t="str">
        <f aca="false">UPPER(LEFT(F167,3))&amp;"-"&amp;G167</f>
        <v>TEX-78207</v>
      </c>
      <c r="P167" s="17" t="str">
        <f aca="false">PROPER(TRIM(E167))</f>
        <v>San Antonio</v>
      </c>
      <c r="Q167" s="17" t="str">
        <f aca="false">IFERROR(VLOOKUP(F167,Lookups!$A$2:$B$50,2,FALSE()),"Not found")</f>
        <v>Central</v>
      </c>
      <c r="R167" s="17" t="str">
        <f aca="false">IF(Q167=H167,"Match","Mismatch")</f>
        <v>Match</v>
      </c>
      <c r="S167" s="17" t="str">
        <f aca="false">IFERROR(INDEX(SubCatCat,MATCH(J167,SubCatName,0)),"Not found")</f>
        <v>Technology</v>
      </c>
      <c r="T167" s="18" t="n">
        <f aca="false">IF(K167=0,0,N167/K167)</f>
        <v>-0.166666666666667</v>
      </c>
      <c r="U167" s="17" t="str">
        <f aca="false">IF(N167&lt;0,"Loss",IF(T167&gt;=0.2,"High margin","Normal"))</f>
        <v>Loss</v>
      </c>
      <c r="V167" s="17" t="str">
        <f aca="false">IF(M167=0,"No discount",IF(M167&lt;=0.2,"Low",IF(M167&lt;=0.4,"Medium","High")))</f>
        <v>Medium</v>
      </c>
      <c r="W167" s="17" t="str">
        <f aca="false">IF(OR(B167="Same Day",B167="First Class"),"Fast","Standard")</f>
        <v>Standard</v>
      </c>
      <c r="X167" s="19" t="n">
        <f aca="false">ROUND(K167/L167,2)</f>
        <v>1019.99</v>
      </c>
    </row>
    <row r="168" customFormat="false" ht="15" hidden="false" customHeight="false" outlineLevel="0" collapsed="false">
      <c r="A168" s="14" t="n">
        <v>167</v>
      </c>
      <c r="B168" s="14" t="s">
        <v>139</v>
      </c>
      <c r="C168" s="14" t="s">
        <v>7</v>
      </c>
      <c r="D168" s="14" t="s">
        <v>128</v>
      </c>
      <c r="E168" s="14" t="s">
        <v>231</v>
      </c>
      <c r="F168" s="14" t="s">
        <v>155</v>
      </c>
      <c r="G168" s="14" t="n">
        <v>78207</v>
      </c>
      <c r="H168" s="14" t="s">
        <v>156</v>
      </c>
      <c r="I168" s="14" t="s">
        <v>137</v>
      </c>
      <c r="J168" s="14" t="s">
        <v>143</v>
      </c>
      <c r="K168" s="15" t="n">
        <v>275.928</v>
      </c>
      <c r="L168" s="14" t="n">
        <v>3</v>
      </c>
      <c r="M168" s="16" t="n">
        <v>0.2</v>
      </c>
      <c r="N168" s="15" t="n">
        <v>-58.6347</v>
      </c>
      <c r="O168" s="17" t="str">
        <f aca="false">UPPER(LEFT(F168,3))&amp;"-"&amp;G168</f>
        <v>TEX-78207</v>
      </c>
      <c r="P168" s="17" t="str">
        <f aca="false">PROPER(TRIM(E168))</f>
        <v>San Antonio</v>
      </c>
      <c r="Q168" s="17" t="str">
        <f aca="false">IFERROR(VLOOKUP(F168,Lookups!$A$2:$B$50,2,FALSE()),"Not found")</f>
        <v>Central</v>
      </c>
      <c r="R168" s="17" t="str">
        <f aca="false">IF(Q168=H168,"Match","Mismatch")</f>
        <v>Match</v>
      </c>
      <c r="S168" s="17" t="str">
        <f aca="false">IFERROR(INDEX(SubCatCat,MATCH(J168,SubCatName,0)),"Not found")</f>
        <v>Office Supplies</v>
      </c>
      <c r="T168" s="18" t="n">
        <f aca="false">IF(K168=0,0,N168/K168)</f>
        <v>-0.2125</v>
      </c>
      <c r="U168" s="17" t="str">
        <f aca="false">IF(N168&lt;0,"Loss",IF(T168&gt;=0.2,"High margin","Normal"))</f>
        <v>Loss</v>
      </c>
      <c r="V168" s="17" t="str">
        <f aca="false">IF(M168=0,"No discount",IF(M168&lt;=0.2,"Low",IF(M168&lt;=0.4,"Medium","High")))</f>
        <v>Low</v>
      </c>
      <c r="W168" s="17" t="str">
        <f aca="false">IF(OR(B168="Same Day",B168="First Class"),"Fast","Standard")</f>
        <v>Standard</v>
      </c>
      <c r="X168" s="19" t="n">
        <f aca="false">ROUND(K168/L168,2)</f>
        <v>91.98</v>
      </c>
    </row>
    <row r="169" customFormat="false" ht="15" hidden="false" customHeight="false" outlineLevel="0" collapsed="false">
      <c r="A169" s="14" t="n">
        <v>168</v>
      </c>
      <c r="B169" s="14" t="s">
        <v>139</v>
      </c>
      <c r="C169" s="14" t="s">
        <v>7</v>
      </c>
      <c r="D169" s="14" t="s">
        <v>128</v>
      </c>
      <c r="E169" s="14" t="s">
        <v>231</v>
      </c>
      <c r="F169" s="14" t="s">
        <v>155</v>
      </c>
      <c r="G169" s="14" t="n">
        <v>78207</v>
      </c>
      <c r="H169" s="14" t="s">
        <v>156</v>
      </c>
      <c r="I169" s="14" t="s">
        <v>132</v>
      </c>
      <c r="J169" s="14" t="s">
        <v>134</v>
      </c>
      <c r="K169" s="15" t="n">
        <v>1740.06</v>
      </c>
      <c r="L169" s="14" t="n">
        <v>9</v>
      </c>
      <c r="M169" s="16" t="n">
        <v>0.3</v>
      </c>
      <c r="N169" s="15" t="n">
        <v>-24.858</v>
      </c>
      <c r="O169" s="17" t="str">
        <f aca="false">UPPER(LEFT(F169,3))&amp;"-"&amp;G169</f>
        <v>TEX-78207</v>
      </c>
      <c r="P169" s="17" t="str">
        <f aca="false">PROPER(TRIM(E169))</f>
        <v>San Antonio</v>
      </c>
      <c r="Q169" s="17" t="str">
        <f aca="false">IFERROR(VLOOKUP(F169,Lookups!$A$2:$B$50,2,FALSE()),"Not found")</f>
        <v>Central</v>
      </c>
      <c r="R169" s="17" t="str">
        <f aca="false">IF(Q169=H169,"Match","Mismatch")</f>
        <v>Match</v>
      </c>
      <c r="S169" s="17" t="str">
        <f aca="false">IFERROR(INDEX(SubCatCat,MATCH(J169,SubCatName,0)),"Not found")</f>
        <v>Furniture</v>
      </c>
      <c r="T169" s="18" t="n">
        <f aca="false">IF(K169=0,0,N169/K169)</f>
        <v>-0.0142857142857143</v>
      </c>
      <c r="U169" s="17" t="str">
        <f aca="false">IF(N169&lt;0,"Loss",IF(T169&gt;=0.2,"High margin","Normal"))</f>
        <v>Loss</v>
      </c>
      <c r="V169" s="17" t="str">
        <f aca="false">IF(M169=0,"No discount",IF(M169&lt;=0.2,"Low",IF(M169&lt;=0.4,"Medium","High")))</f>
        <v>Medium</v>
      </c>
      <c r="W169" s="17" t="str">
        <f aca="false">IF(OR(B169="Same Day",B169="First Class"),"Fast","Standard")</f>
        <v>Standard</v>
      </c>
      <c r="X169" s="19" t="n">
        <f aca="false">ROUND(K169/L169,2)</f>
        <v>193.34</v>
      </c>
    </row>
    <row r="170" customFormat="false" ht="15" hidden="false" customHeight="false" outlineLevel="0" collapsed="false">
      <c r="A170" s="14" t="n">
        <v>169</v>
      </c>
      <c r="B170" s="14" t="s">
        <v>139</v>
      </c>
      <c r="C170" s="14" t="s">
        <v>7</v>
      </c>
      <c r="D170" s="14" t="s">
        <v>128</v>
      </c>
      <c r="E170" s="14" t="s">
        <v>231</v>
      </c>
      <c r="F170" s="14" t="s">
        <v>155</v>
      </c>
      <c r="G170" s="14" t="n">
        <v>78207</v>
      </c>
      <c r="H170" s="14" t="s">
        <v>156</v>
      </c>
      <c r="I170" s="14" t="s">
        <v>137</v>
      </c>
      <c r="J170" s="14" t="s">
        <v>145</v>
      </c>
      <c r="K170" s="15" t="n">
        <v>32.064</v>
      </c>
      <c r="L170" s="14" t="n">
        <v>6</v>
      </c>
      <c r="M170" s="16" t="n">
        <v>0.2</v>
      </c>
      <c r="N170" s="15" t="n">
        <v>6.8136</v>
      </c>
      <c r="O170" s="17" t="str">
        <f aca="false">UPPER(LEFT(F170,3))&amp;"-"&amp;G170</f>
        <v>TEX-78207</v>
      </c>
      <c r="P170" s="17" t="str">
        <f aca="false">PROPER(TRIM(E170))</f>
        <v>San Antonio</v>
      </c>
      <c r="Q170" s="17" t="str">
        <f aca="false">IFERROR(VLOOKUP(F170,Lookups!$A$2:$B$50,2,FALSE()),"Not found")</f>
        <v>Central</v>
      </c>
      <c r="R170" s="17" t="str">
        <f aca="false">IF(Q170=H170,"Match","Mismatch")</f>
        <v>Match</v>
      </c>
      <c r="S170" s="17" t="str">
        <f aca="false">IFERROR(INDEX(SubCatCat,MATCH(J170,SubCatName,0)),"Not found")</f>
        <v>Office Supplies</v>
      </c>
      <c r="T170" s="18" t="n">
        <f aca="false">IF(K170=0,0,N170/K170)</f>
        <v>0.2125</v>
      </c>
      <c r="U170" s="17" t="str">
        <f aca="false">IF(N170&lt;0,"Loss",IF(T170&gt;=0.2,"High margin","Normal"))</f>
        <v>High margin</v>
      </c>
      <c r="V170" s="17" t="str">
        <f aca="false">IF(M170=0,"No discount",IF(M170&lt;=0.2,"Low",IF(M170&lt;=0.4,"Medium","High")))</f>
        <v>Low</v>
      </c>
      <c r="W170" s="17" t="str">
        <f aca="false">IF(OR(B170="Same Day",B170="First Class"),"Fast","Standard")</f>
        <v>Standard</v>
      </c>
      <c r="X170" s="19" t="n">
        <f aca="false">ROUND(K170/L170,2)</f>
        <v>5.34</v>
      </c>
    </row>
    <row r="171" customFormat="false" ht="15" hidden="false" customHeight="false" outlineLevel="0" collapsed="false">
      <c r="A171" s="14" t="n">
        <v>170</v>
      </c>
      <c r="B171" s="14" t="s">
        <v>139</v>
      </c>
      <c r="C171" s="14" t="s">
        <v>7</v>
      </c>
      <c r="D171" s="14" t="s">
        <v>128</v>
      </c>
      <c r="E171" s="14" t="s">
        <v>231</v>
      </c>
      <c r="F171" s="14" t="s">
        <v>155</v>
      </c>
      <c r="G171" s="14" t="n">
        <v>78207</v>
      </c>
      <c r="H171" s="14" t="s">
        <v>156</v>
      </c>
      <c r="I171" s="14" t="s">
        <v>137</v>
      </c>
      <c r="J171" s="14" t="s">
        <v>147</v>
      </c>
      <c r="K171" s="15" t="n">
        <v>177.98</v>
      </c>
      <c r="L171" s="14" t="n">
        <v>5</v>
      </c>
      <c r="M171" s="16" t="n">
        <v>0.8</v>
      </c>
      <c r="N171" s="15" t="n">
        <v>-453.849</v>
      </c>
      <c r="O171" s="17" t="str">
        <f aca="false">UPPER(LEFT(F171,3))&amp;"-"&amp;G171</f>
        <v>TEX-78207</v>
      </c>
      <c r="P171" s="17" t="str">
        <f aca="false">PROPER(TRIM(E171))</f>
        <v>San Antonio</v>
      </c>
      <c r="Q171" s="17" t="str">
        <f aca="false">IFERROR(VLOOKUP(F171,Lookups!$A$2:$B$50,2,FALSE()),"Not found")</f>
        <v>Central</v>
      </c>
      <c r="R171" s="17" t="str">
        <f aca="false">IF(Q171=H171,"Match","Mismatch")</f>
        <v>Match</v>
      </c>
      <c r="S171" s="17" t="str">
        <f aca="false">IFERROR(INDEX(SubCatCat,MATCH(J171,SubCatName,0)),"Not found")</f>
        <v>Office Supplies</v>
      </c>
      <c r="T171" s="18" t="n">
        <f aca="false">IF(K171=0,0,N171/K171)</f>
        <v>-2.55</v>
      </c>
      <c r="U171" s="17" t="str">
        <f aca="false">IF(N171&lt;0,"Loss",IF(T171&gt;=0.2,"High margin","Normal"))</f>
        <v>Loss</v>
      </c>
      <c r="V171" s="17" t="str">
        <f aca="false">IF(M171=0,"No discount",IF(M171&lt;=0.2,"Low",IF(M171&lt;=0.4,"Medium","High")))</f>
        <v>High</v>
      </c>
      <c r="W171" s="17" t="str">
        <f aca="false">IF(OR(B171="Same Day",B171="First Class"),"Fast","Standard")</f>
        <v>Standard</v>
      </c>
      <c r="X171" s="19" t="n">
        <f aca="false">ROUND(K171/L171,2)</f>
        <v>35.6</v>
      </c>
    </row>
    <row r="172" customFormat="false" ht="15" hidden="false" customHeight="false" outlineLevel="0" collapsed="false">
      <c r="A172" s="14" t="n">
        <v>171</v>
      </c>
      <c r="B172" s="14" t="s">
        <v>139</v>
      </c>
      <c r="C172" s="14" t="s">
        <v>7</v>
      </c>
      <c r="D172" s="14" t="s">
        <v>128</v>
      </c>
      <c r="E172" s="14" t="s">
        <v>231</v>
      </c>
      <c r="F172" s="14" t="s">
        <v>155</v>
      </c>
      <c r="G172" s="14" t="n">
        <v>78207</v>
      </c>
      <c r="H172" s="14" t="s">
        <v>156</v>
      </c>
      <c r="I172" s="14" t="s">
        <v>5</v>
      </c>
      <c r="J172" s="14" t="s">
        <v>11</v>
      </c>
      <c r="K172" s="15" t="n">
        <v>143.976</v>
      </c>
      <c r="L172" s="14" t="n">
        <v>3</v>
      </c>
      <c r="M172" s="16" t="n">
        <v>0.2</v>
      </c>
      <c r="N172" s="15" t="n">
        <v>8.9985</v>
      </c>
      <c r="O172" s="17" t="str">
        <f aca="false">UPPER(LEFT(F172,3))&amp;"-"&amp;G172</f>
        <v>TEX-78207</v>
      </c>
      <c r="P172" s="17" t="str">
        <f aca="false">PROPER(TRIM(E172))</f>
        <v>San Antonio</v>
      </c>
      <c r="Q172" s="17" t="str">
        <f aca="false">IFERROR(VLOOKUP(F172,Lookups!$A$2:$B$50,2,FALSE()),"Not found")</f>
        <v>Central</v>
      </c>
      <c r="R172" s="17" t="str">
        <f aca="false">IF(Q172=H172,"Match","Mismatch")</f>
        <v>Match</v>
      </c>
      <c r="S172" s="17" t="str">
        <f aca="false">IFERROR(INDEX(SubCatCat,MATCH(J172,SubCatName,0)),"Not found")</f>
        <v>Technology</v>
      </c>
      <c r="T172" s="18" t="n">
        <f aca="false">IF(K172=0,0,N172/K172)</f>
        <v>0.0625</v>
      </c>
      <c r="U172" s="17" t="str">
        <f aca="false">IF(N172&lt;0,"Loss",IF(T172&gt;=0.2,"High margin","Normal"))</f>
        <v>Normal</v>
      </c>
      <c r="V172" s="17" t="str">
        <f aca="false">IF(M172=0,"No discount",IF(M172&lt;=0.2,"Low",IF(M172&lt;=0.4,"Medium","High")))</f>
        <v>Low</v>
      </c>
      <c r="W172" s="17" t="str">
        <f aca="false">IF(OR(B172="Same Day",B172="First Class"),"Fast","Standard")</f>
        <v>Standard</v>
      </c>
      <c r="X172" s="19" t="n">
        <f aca="false">ROUND(K172/L172,2)</f>
        <v>47.99</v>
      </c>
    </row>
    <row r="173" customFormat="false" ht="15" hidden="false" customHeight="false" outlineLevel="0" collapsed="false">
      <c r="A173" s="14" t="n">
        <v>172</v>
      </c>
      <c r="B173" s="14" t="s">
        <v>139</v>
      </c>
      <c r="C173" s="14" t="s">
        <v>7</v>
      </c>
      <c r="D173" s="14" t="s">
        <v>128</v>
      </c>
      <c r="E173" s="14" t="s">
        <v>136</v>
      </c>
      <c r="F173" s="14" t="s">
        <v>9</v>
      </c>
      <c r="G173" s="14" t="n">
        <v>90004</v>
      </c>
      <c r="H173" s="14" t="s">
        <v>3</v>
      </c>
      <c r="I173" s="14" t="s">
        <v>137</v>
      </c>
      <c r="J173" s="14" t="s">
        <v>150</v>
      </c>
      <c r="K173" s="15" t="n">
        <v>20.94</v>
      </c>
      <c r="L173" s="14" t="n">
        <v>3</v>
      </c>
      <c r="M173" s="16" t="n">
        <v>0</v>
      </c>
      <c r="N173" s="15" t="n">
        <v>9.8418</v>
      </c>
      <c r="O173" s="17" t="str">
        <f aca="false">UPPER(LEFT(F173,3))&amp;"-"&amp;G173</f>
        <v>CAL-90004</v>
      </c>
      <c r="P173" s="17" t="str">
        <f aca="false">PROPER(TRIM(E173))</f>
        <v>Los Angeles</v>
      </c>
      <c r="Q173" s="17" t="str">
        <f aca="false">IFERROR(VLOOKUP(F173,Lookups!$A$2:$B$50,2,FALSE()),"Not found")</f>
        <v>West</v>
      </c>
      <c r="R173" s="17" t="str">
        <f aca="false">IF(Q173=H173,"Match","Mismatch")</f>
        <v>Match</v>
      </c>
      <c r="S173" s="17" t="str">
        <f aca="false">IFERROR(INDEX(SubCatCat,MATCH(J173,SubCatName,0)),"Not found")</f>
        <v>Office Supplies</v>
      </c>
      <c r="T173" s="18" t="n">
        <f aca="false">IF(K173=0,0,N173/K173)</f>
        <v>0.47</v>
      </c>
      <c r="U173" s="17" t="str">
        <f aca="false">IF(N173&lt;0,"Loss",IF(T173&gt;=0.2,"High margin","Normal"))</f>
        <v>High margin</v>
      </c>
      <c r="V173" s="17" t="str">
        <f aca="false">IF(M173=0,"No discount",IF(M173&lt;=0.2,"Low",IF(M173&lt;=0.4,"Medium","High")))</f>
        <v>No discount</v>
      </c>
      <c r="W173" s="17" t="str">
        <f aca="false">IF(OR(B173="Same Day",B173="First Class"),"Fast","Standard")</f>
        <v>Standard</v>
      </c>
      <c r="X173" s="19" t="n">
        <f aca="false">ROUND(K173/L173,2)</f>
        <v>6.98</v>
      </c>
    </row>
    <row r="174" customFormat="false" ht="15" hidden="false" customHeight="false" outlineLevel="0" collapsed="false">
      <c r="A174" s="14" t="n">
        <v>173</v>
      </c>
      <c r="B174" s="14" t="s">
        <v>139</v>
      </c>
      <c r="C174" s="14" t="s">
        <v>7</v>
      </c>
      <c r="D174" s="14" t="s">
        <v>128</v>
      </c>
      <c r="E174" s="14" t="s">
        <v>136</v>
      </c>
      <c r="F174" s="14" t="s">
        <v>9</v>
      </c>
      <c r="G174" s="14" t="n">
        <v>90004</v>
      </c>
      <c r="H174" s="14" t="s">
        <v>3</v>
      </c>
      <c r="I174" s="14" t="s">
        <v>137</v>
      </c>
      <c r="J174" s="14" t="s">
        <v>150</v>
      </c>
      <c r="K174" s="15" t="n">
        <v>110.96</v>
      </c>
      <c r="L174" s="14" t="n">
        <v>2</v>
      </c>
      <c r="M174" s="16" t="n">
        <v>0</v>
      </c>
      <c r="N174" s="15" t="n">
        <v>53.2608</v>
      </c>
      <c r="O174" s="17" t="str">
        <f aca="false">UPPER(LEFT(F174,3))&amp;"-"&amp;G174</f>
        <v>CAL-90004</v>
      </c>
      <c r="P174" s="17" t="str">
        <f aca="false">PROPER(TRIM(E174))</f>
        <v>Los Angeles</v>
      </c>
      <c r="Q174" s="17" t="str">
        <f aca="false">IFERROR(VLOOKUP(F174,Lookups!$A$2:$B$50,2,FALSE()),"Not found")</f>
        <v>West</v>
      </c>
      <c r="R174" s="17" t="str">
        <f aca="false">IF(Q174=H174,"Match","Mismatch")</f>
        <v>Match</v>
      </c>
      <c r="S174" s="17" t="str">
        <f aca="false">IFERROR(INDEX(SubCatCat,MATCH(J174,SubCatName,0)),"Not found")</f>
        <v>Office Supplies</v>
      </c>
      <c r="T174" s="18" t="n">
        <f aca="false">IF(K174=0,0,N174/K174)</f>
        <v>0.48</v>
      </c>
      <c r="U174" s="17" t="str">
        <f aca="false">IF(N174&lt;0,"Loss",IF(T174&gt;=0.2,"High margin","Normal"))</f>
        <v>High margin</v>
      </c>
      <c r="V174" s="17" t="str">
        <f aca="false">IF(M174=0,"No discount",IF(M174&lt;=0.2,"Low",IF(M174&lt;=0.4,"Medium","High")))</f>
        <v>No discount</v>
      </c>
      <c r="W174" s="17" t="str">
        <f aca="false">IF(OR(B174="Same Day",B174="First Class"),"Fast","Standard")</f>
        <v>Standard</v>
      </c>
      <c r="X174" s="19" t="n">
        <f aca="false">ROUND(K174/L174,2)</f>
        <v>55.48</v>
      </c>
    </row>
    <row r="175" customFormat="false" ht="15" hidden="false" customHeight="false" outlineLevel="0" collapsed="false">
      <c r="A175" s="14" t="n">
        <v>174</v>
      </c>
      <c r="B175" s="14" t="s">
        <v>139</v>
      </c>
      <c r="C175" s="14" t="s">
        <v>7</v>
      </c>
      <c r="D175" s="14" t="s">
        <v>128</v>
      </c>
      <c r="E175" s="14" t="s">
        <v>136</v>
      </c>
      <c r="F175" s="14" t="s">
        <v>9</v>
      </c>
      <c r="G175" s="14" t="n">
        <v>90004</v>
      </c>
      <c r="H175" s="14" t="s">
        <v>3</v>
      </c>
      <c r="I175" s="14" t="s">
        <v>132</v>
      </c>
      <c r="J175" s="14" t="s">
        <v>134</v>
      </c>
      <c r="K175" s="15" t="n">
        <v>340.144</v>
      </c>
      <c r="L175" s="14" t="n">
        <v>7</v>
      </c>
      <c r="M175" s="16" t="n">
        <v>0.2</v>
      </c>
      <c r="N175" s="15" t="n">
        <v>21.259</v>
      </c>
      <c r="O175" s="17" t="str">
        <f aca="false">UPPER(LEFT(F175,3))&amp;"-"&amp;G175</f>
        <v>CAL-90004</v>
      </c>
      <c r="P175" s="17" t="str">
        <f aca="false">PROPER(TRIM(E175))</f>
        <v>Los Angeles</v>
      </c>
      <c r="Q175" s="17" t="str">
        <f aca="false">IFERROR(VLOOKUP(F175,Lookups!$A$2:$B$50,2,FALSE()),"Not found")</f>
        <v>West</v>
      </c>
      <c r="R175" s="17" t="str">
        <f aca="false">IF(Q175=H175,"Match","Mismatch")</f>
        <v>Match</v>
      </c>
      <c r="S175" s="17" t="str">
        <f aca="false">IFERROR(INDEX(SubCatCat,MATCH(J175,SubCatName,0)),"Not found")</f>
        <v>Furniture</v>
      </c>
      <c r="T175" s="18" t="n">
        <f aca="false">IF(K175=0,0,N175/K175)</f>
        <v>0.0625</v>
      </c>
      <c r="U175" s="17" t="str">
        <f aca="false">IF(N175&lt;0,"Loss",IF(T175&gt;=0.2,"High margin","Normal"))</f>
        <v>Normal</v>
      </c>
      <c r="V175" s="17" t="str">
        <f aca="false">IF(M175=0,"No discount",IF(M175&lt;=0.2,"Low",IF(M175&lt;=0.4,"Medium","High")))</f>
        <v>Low</v>
      </c>
      <c r="W175" s="17" t="str">
        <f aca="false">IF(OR(B175="Same Day",B175="First Class"),"Fast","Standard")</f>
        <v>Standard</v>
      </c>
      <c r="X175" s="19" t="n">
        <f aca="false">ROUND(K175/L175,2)</f>
        <v>48.59</v>
      </c>
    </row>
    <row r="176" customFormat="false" ht="15" hidden="false" customHeight="false" outlineLevel="0" collapsed="false">
      <c r="A176" s="14" t="n">
        <v>175</v>
      </c>
      <c r="B176" s="14" t="s">
        <v>139</v>
      </c>
      <c r="C176" s="14" t="s">
        <v>135</v>
      </c>
      <c r="D176" s="14" t="s">
        <v>128</v>
      </c>
      <c r="E176" s="14" t="s">
        <v>188</v>
      </c>
      <c r="F176" s="14" t="s">
        <v>174</v>
      </c>
      <c r="G176" s="14" t="n">
        <v>60623</v>
      </c>
      <c r="H176" s="14" t="s">
        <v>156</v>
      </c>
      <c r="I176" s="14" t="s">
        <v>137</v>
      </c>
      <c r="J176" s="14" t="s">
        <v>147</v>
      </c>
      <c r="K176" s="15" t="n">
        <v>52.448</v>
      </c>
      <c r="L176" s="14" t="n">
        <v>2</v>
      </c>
      <c r="M176" s="16" t="n">
        <v>0.8</v>
      </c>
      <c r="N176" s="15" t="n">
        <v>-131.12</v>
      </c>
      <c r="O176" s="17" t="str">
        <f aca="false">UPPER(LEFT(F176,3))&amp;"-"&amp;G176</f>
        <v>ILL-60623</v>
      </c>
      <c r="P176" s="17" t="str">
        <f aca="false">PROPER(TRIM(E176))</f>
        <v>Chicago</v>
      </c>
      <c r="Q176" s="17" t="str">
        <f aca="false">IFERROR(VLOOKUP(F176,Lookups!$A$2:$B$50,2,FALSE()),"Not found")</f>
        <v>Central</v>
      </c>
      <c r="R176" s="17" t="str">
        <f aca="false">IF(Q176=H176,"Match","Mismatch")</f>
        <v>Match</v>
      </c>
      <c r="S176" s="17" t="str">
        <f aca="false">IFERROR(INDEX(SubCatCat,MATCH(J176,SubCatName,0)),"Not found")</f>
        <v>Office Supplies</v>
      </c>
      <c r="T176" s="18" t="n">
        <f aca="false">IF(K176=0,0,N176/K176)</f>
        <v>-2.5</v>
      </c>
      <c r="U176" s="17" t="str">
        <f aca="false">IF(N176&lt;0,"Loss",IF(T176&gt;=0.2,"High margin","Normal"))</f>
        <v>Loss</v>
      </c>
      <c r="V176" s="17" t="str">
        <f aca="false">IF(M176=0,"No discount",IF(M176&lt;=0.2,"Low",IF(M176&lt;=0.4,"Medium","High")))</f>
        <v>High</v>
      </c>
      <c r="W176" s="17" t="str">
        <f aca="false">IF(OR(B176="Same Day",B176="First Class"),"Fast","Standard")</f>
        <v>Standard</v>
      </c>
      <c r="X176" s="19" t="n">
        <f aca="false">ROUND(K176/L176,2)</f>
        <v>26.22</v>
      </c>
    </row>
    <row r="177" customFormat="false" ht="15" hidden="false" customHeight="false" outlineLevel="0" collapsed="false">
      <c r="A177" s="14" t="n">
        <v>176</v>
      </c>
      <c r="B177" s="14" t="s">
        <v>139</v>
      </c>
      <c r="C177" s="14" t="s">
        <v>135</v>
      </c>
      <c r="D177" s="14" t="s">
        <v>128</v>
      </c>
      <c r="E177" s="14" t="s">
        <v>188</v>
      </c>
      <c r="F177" s="14" t="s">
        <v>174</v>
      </c>
      <c r="G177" s="14" t="n">
        <v>60623</v>
      </c>
      <c r="H177" s="14" t="s">
        <v>156</v>
      </c>
      <c r="I177" s="14" t="s">
        <v>137</v>
      </c>
      <c r="J177" s="14" t="s">
        <v>138</v>
      </c>
      <c r="K177" s="15" t="n">
        <v>20.16</v>
      </c>
      <c r="L177" s="14" t="n">
        <v>4</v>
      </c>
      <c r="M177" s="16" t="n">
        <v>0.2</v>
      </c>
      <c r="N177" s="15" t="n">
        <v>6.552</v>
      </c>
      <c r="O177" s="17" t="str">
        <f aca="false">UPPER(LEFT(F177,3))&amp;"-"&amp;G177</f>
        <v>ILL-60623</v>
      </c>
      <c r="P177" s="17" t="str">
        <f aca="false">PROPER(TRIM(E177))</f>
        <v>Chicago</v>
      </c>
      <c r="Q177" s="17" t="str">
        <f aca="false">IFERROR(VLOOKUP(F177,Lookups!$A$2:$B$50,2,FALSE()),"Not found")</f>
        <v>Central</v>
      </c>
      <c r="R177" s="17" t="str">
        <f aca="false">IF(Q177=H177,"Match","Mismatch")</f>
        <v>Match</v>
      </c>
      <c r="S177" s="17" t="str">
        <f aca="false">IFERROR(INDEX(SubCatCat,MATCH(J177,SubCatName,0)),"Not found")</f>
        <v>Office Supplies</v>
      </c>
      <c r="T177" s="18" t="n">
        <f aca="false">IF(K177=0,0,N177/K177)</f>
        <v>0.325</v>
      </c>
      <c r="U177" s="17" t="str">
        <f aca="false">IF(N177&lt;0,"Loss",IF(T177&gt;=0.2,"High margin","Normal"))</f>
        <v>High margin</v>
      </c>
      <c r="V177" s="17" t="str">
        <f aca="false">IF(M177=0,"No discount",IF(M177&lt;=0.2,"Low",IF(M177&lt;=0.4,"Medium","High")))</f>
        <v>Low</v>
      </c>
      <c r="W177" s="17" t="str">
        <f aca="false">IF(OR(B177="Same Day",B177="First Class"),"Fast","Standard")</f>
        <v>Standard</v>
      </c>
      <c r="X177" s="19" t="n">
        <f aca="false">ROUND(K177/L177,2)</f>
        <v>5.04</v>
      </c>
    </row>
    <row r="178" customFormat="false" ht="15" hidden="false" customHeight="false" outlineLevel="0" collapsed="false">
      <c r="A178" s="14" t="n">
        <v>177</v>
      </c>
      <c r="B178" s="14" t="s">
        <v>127</v>
      </c>
      <c r="C178" s="14" t="s">
        <v>7</v>
      </c>
      <c r="D178" s="14" t="s">
        <v>128</v>
      </c>
      <c r="E178" s="14" t="s">
        <v>170</v>
      </c>
      <c r="F178" s="14" t="s">
        <v>155</v>
      </c>
      <c r="G178" s="14" t="n">
        <v>77036</v>
      </c>
      <c r="H178" s="14" t="s">
        <v>156</v>
      </c>
      <c r="I178" s="14" t="s">
        <v>137</v>
      </c>
      <c r="J178" s="14" t="s">
        <v>147</v>
      </c>
      <c r="K178" s="15" t="n">
        <v>97.264</v>
      </c>
      <c r="L178" s="14" t="n">
        <v>4</v>
      </c>
      <c r="M178" s="16" t="n">
        <v>0.8</v>
      </c>
      <c r="N178" s="15" t="n">
        <v>-243.16</v>
      </c>
      <c r="O178" s="17" t="str">
        <f aca="false">UPPER(LEFT(F178,3))&amp;"-"&amp;G178</f>
        <v>TEX-77036</v>
      </c>
      <c r="P178" s="17" t="str">
        <f aca="false">PROPER(TRIM(E178))</f>
        <v>Houston</v>
      </c>
      <c r="Q178" s="17" t="str">
        <f aca="false">IFERROR(VLOOKUP(F178,Lookups!$A$2:$B$50,2,FALSE()),"Not found")</f>
        <v>Central</v>
      </c>
      <c r="R178" s="17" t="str">
        <f aca="false">IF(Q178=H178,"Match","Mismatch")</f>
        <v>Match</v>
      </c>
      <c r="S178" s="17" t="str">
        <f aca="false">IFERROR(INDEX(SubCatCat,MATCH(J178,SubCatName,0)),"Not found")</f>
        <v>Office Supplies</v>
      </c>
      <c r="T178" s="18" t="n">
        <f aca="false">IF(K178=0,0,N178/K178)</f>
        <v>-2.5</v>
      </c>
      <c r="U178" s="17" t="str">
        <f aca="false">IF(N178&lt;0,"Loss",IF(T178&gt;=0.2,"High margin","Normal"))</f>
        <v>Loss</v>
      </c>
      <c r="V178" s="17" t="str">
        <f aca="false">IF(M178=0,"No discount",IF(M178&lt;=0.2,"Low",IF(M178&lt;=0.4,"Medium","High")))</f>
        <v>High</v>
      </c>
      <c r="W178" s="17" t="str">
        <f aca="false">IF(OR(B178="Same Day",B178="First Class"),"Fast","Standard")</f>
        <v>Standard</v>
      </c>
      <c r="X178" s="19" t="n">
        <f aca="false">ROUND(K178/L178,2)</f>
        <v>24.32</v>
      </c>
    </row>
    <row r="179" customFormat="false" ht="15" hidden="false" customHeight="false" outlineLevel="0" collapsed="false">
      <c r="A179" s="14" t="n">
        <v>178</v>
      </c>
      <c r="B179" s="14" t="s">
        <v>127</v>
      </c>
      <c r="C179" s="14" t="s">
        <v>7</v>
      </c>
      <c r="D179" s="14" t="s">
        <v>128</v>
      </c>
      <c r="E179" s="14" t="s">
        <v>223</v>
      </c>
      <c r="F179" s="14" t="s">
        <v>213</v>
      </c>
      <c r="G179" s="14" t="n">
        <v>43055</v>
      </c>
      <c r="H179" s="14" t="s">
        <v>166</v>
      </c>
      <c r="I179" s="14" t="s">
        <v>132</v>
      </c>
      <c r="J179" s="14" t="s">
        <v>134</v>
      </c>
      <c r="K179" s="15" t="n">
        <v>396.802</v>
      </c>
      <c r="L179" s="14" t="n">
        <v>7</v>
      </c>
      <c r="M179" s="16" t="n">
        <v>0.3</v>
      </c>
      <c r="N179" s="15" t="n">
        <v>-11.3372</v>
      </c>
      <c r="O179" s="17" t="str">
        <f aca="false">UPPER(LEFT(F179,3))&amp;"-"&amp;G179</f>
        <v>OHI-43055</v>
      </c>
      <c r="P179" s="17" t="str">
        <f aca="false">PROPER(TRIM(E179))</f>
        <v>Newark</v>
      </c>
      <c r="Q179" s="17" t="str">
        <f aca="false">IFERROR(VLOOKUP(F179,Lookups!$A$2:$B$50,2,FALSE()),"Not found")</f>
        <v>East</v>
      </c>
      <c r="R179" s="17" t="str">
        <f aca="false">IF(Q179=H179,"Match","Mismatch")</f>
        <v>Match</v>
      </c>
      <c r="S179" s="17" t="str">
        <f aca="false">IFERROR(INDEX(SubCatCat,MATCH(J179,SubCatName,0)),"Not found")</f>
        <v>Furniture</v>
      </c>
      <c r="T179" s="18" t="n">
        <f aca="false">IF(K179=0,0,N179/K179)</f>
        <v>-0.0285714285714286</v>
      </c>
      <c r="U179" s="17" t="str">
        <f aca="false">IF(N179&lt;0,"Loss",IF(T179&gt;=0.2,"High margin","Normal"))</f>
        <v>Loss</v>
      </c>
      <c r="V179" s="17" t="str">
        <f aca="false">IF(M179=0,"No discount",IF(M179&lt;=0.2,"Low",IF(M179&lt;=0.4,"Medium","High")))</f>
        <v>Medium</v>
      </c>
      <c r="W179" s="17" t="str">
        <f aca="false">IF(OR(B179="Same Day",B179="First Class"),"Fast","Standard")</f>
        <v>Standard</v>
      </c>
      <c r="X179" s="19" t="n">
        <f aca="false">ROUND(K179/L179,2)</f>
        <v>56.69</v>
      </c>
    </row>
    <row r="180" customFormat="false" ht="15" hidden="false" customHeight="false" outlineLevel="0" collapsed="false">
      <c r="A180" s="14" t="n">
        <v>179</v>
      </c>
      <c r="B180" s="14" t="s">
        <v>127</v>
      </c>
      <c r="C180" s="14" t="s">
        <v>7</v>
      </c>
      <c r="D180" s="14" t="s">
        <v>128</v>
      </c>
      <c r="E180" s="14" t="s">
        <v>223</v>
      </c>
      <c r="F180" s="14" t="s">
        <v>213</v>
      </c>
      <c r="G180" s="14" t="n">
        <v>43055</v>
      </c>
      <c r="H180" s="14" t="s">
        <v>166</v>
      </c>
      <c r="I180" s="14" t="s">
        <v>137</v>
      </c>
      <c r="J180" s="14" t="s">
        <v>219</v>
      </c>
      <c r="K180" s="15" t="n">
        <v>15.88</v>
      </c>
      <c r="L180" s="14" t="n">
        <v>5</v>
      </c>
      <c r="M180" s="16" t="n">
        <v>0.2</v>
      </c>
      <c r="N180" s="15" t="n">
        <v>-3.7715</v>
      </c>
      <c r="O180" s="17" t="str">
        <f aca="false">UPPER(LEFT(F180,3))&amp;"-"&amp;G180</f>
        <v>OHI-43055</v>
      </c>
      <c r="P180" s="17" t="str">
        <f aca="false">PROPER(TRIM(E180))</f>
        <v>Newark</v>
      </c>
      <c r="Q180" s="17" t="str">
        <f aca="false">IFERROR(VLOOKUP(F180,Lookups!$A$2:$B$50,2,FALSE()),"Not found")</f>
        <v>East</v>
      </c>
      <c r="R180" s="17" t="str">
        <f aca="false">IF(Q180=H180,"Match","Mismatch")</f>
        <v>Match</v>
      </c>
      <c r="S180" s="17" t="str">
        <f aca="false">IFERROR(INDEX(SubCatCat,MATCH(J180,SubCatName,0)),"Not found")</f>
        <v>Office Supplies</v>
      </c>
      <c r="T180" s="18" t="n">
        <f aca="false">IF(K180=0,0,N180/K180)</f>
        <v>-0.2375</v>
      </c>
      <c r="U180" s="17" t="str">
        <f aca="false">IF(N180&lt;0,"Loss",IF(T180&gt;=0.2,"High margin","Normal"))</f>
        <v>Loss</v>
      </c>
      <c r="V180" s="17" t="str">
        <f aca="false">IF(M180=0,"No discount",IF(M180&lt;=0.2,"Low",IF(M180&lt;=0.4,"Medium","High")))</f>
        <v>Low</v>
      </c>
      <c r="W180" s="17" t="str">
        <f aca="false">IF(OR(B180="Same Day",B180="First Class"),"Fast","Standard")</f>
        <v>Standard</v>
      </c>
      <c r="X180" s="19" t="n">
        <f aca="false">ROUND(K180/L180,2)</f>
        <v>3.18</v>
      </c>
    </row>
    <row r="181" customFormat="false" ht="15" hidden="false" customHeight="false" outlineLevel="0" collapsed="false">
      <c r="A181" s="14" t="n">
        <v>180</v>
      </c>
      <c r="B181" s="14" t="s">
        <v>139</v>
      </c>
      <c r="C181" s="14" t="s">
        <v>153</v>
      </c>
      <c r="D181" s="14" t="s">
        <v>128</v>
      </c>
      <c r="E181" s="14" t="s">
        <v>184</v>
      </c>
      <c r="F181" s="14" t="s">
        <v>185</v>
      </c>
      <c r="G181" s="14" t="n">
        <v>10009</v>
      </c>
      <c r="H181" s="14" t="s">
        <v>166</v>
      </c>
      <c r="I181" s="14" t="s">
        <v>137</v>
      </c>
      <c r="J181" s="14" t="s">
        <v>145</v>
      </c>
      <c r="K181" s="15" t="n">
        <v>3.28</v>
      </c>
      <c r="L181" s="14" t="n">
        <v>1</v>
      </c>
      <c r="M181" s="16" t="n">
        <v>0</v>
      </c>
      <c r="N181" s="15" t="n">
        <v>1.4104</v>
      </c>
      <c r="O181" s="17" t="str">
        <f aca="false">UPPER(LEFT(F181,3))&amp;"-"&amp;G181</f>
        <v>NEW-10009</v>
      </c>
      <c r="P181" s="17" t="str">
        <f aca="false">PROPER(TRIM(E181))</f>
        <v>New York City</v>
      </c>
      <c r="Q181" s="17" t="str">
        <f aca="false">IFERROR(VLOOKUP(F181,Lookups!$A$2:$B$50,2,FALSE()),"Not found")</f>
        <v>East</v>
      </c>
      <c r="R181" s="17" t="str">
        <f aca="false">IF(Q181=H181,"Match","Mismatch")</f>
        <v>Match</v>
      </c>
      <c r="S181" s="17" t="str">
        <f aca="false">IFERROR(INDEX(SubCatCat,MATCH(J181,SubCatName,0)),"Not found")</f>
        <v>Office Supplies</v>
      </c>
      <c r="T181" s="18" t="n">
        <f aca="false">IF(K181=0,0,N181/K181)</f>
        <v>0.43</v>
      </c>
      <c r="U181" s="17" t="str">
        <f aca="false">IF(N181&lt;0,"Loss",IF(T181&gt;=0.2,"High margin","Normal"))</f>
        <v>High margin</v>
      </c>
      <c r="V181" s="17" t="str">
        <f aca="false">IF(M181=0,"No discount",IF(M181&lt;=0.2,"Low",IF(M181&lt;=0.4,"Medium","High")))</f>
        <v>No discount</v>
      </c>
      <c r="W181" s="17" t="str">
        <f aca="false">IF(OR(B181="Same Day",B181="First Class"),"Fast","Standard")</f>
        <v>Standard</v>
      </c>
      <c r="X181" s="19" t="n">
        <f aca="false">ROUND(K181/L181,2)</f>
        <v>3.28</v>
      </c>
    </row>
    <row r="182" customFormat="false" ht="15" hidden="false" customHeight="false" outlineLevel="0" collapsed="false">
      <c r="A182" s="14" t="n">
        <v>181</v>
      </c>
      <c r="B182" s="14" t="s">
        <v>127</v>
      </c>
      <c r="C182" s="14" t="s">
        <v>135</v>
      </c>
      <c r="D182" s="14" t="s">
        <v>128</v>
      </c>
      <c r="E182" s="14" t="s">
        <v>196</v>
      </c>
      <c r="F182" s="14" t="s">
        <v>174</v>
      </c>
      <c r="G182" s="14" t="n">
        <v>62521</v>
      </c>
      <c r="H182" s="14" t="s">
        <v>156</v>
      </c>
      <c r="I182" s="14" t="s">
        <v>137</v>
      </c>
      <c r="J182" s="14" t="s">
        <v>143</v>
      </c>
      <c r="K182" s="15" t="n">
        <v>24.816</v>
      </c>
      <c r="L182" s="14" t="n">
        <v>2</v>
      </c>
      <c r="M182" s="16" t="n">
        <v>0.2</v>
      </c>
      <c r="N182" s="15" t="n">
        <v>1.8612</v>
      </c>
      <c r="O182" s="17" t="str">
        <f aca="false">UPPER(LEFT(F182,3))&amp;"-"&amp;G182</f>
        <v>ILL-62521</v>
      </c>
      <c r="P182" s="17" t="str">
        <f aca="false">PROPER(TRIM(E182))</f>
        <v>Decatur</v>
      </c>
      <c r="Q182" s="17" t="str">
        <f aca="false">IFERROR(VLOOKUP(F182,Lookups!$A$2:$B$50,2,FALSE()),"Not found")</f>
        <v>Central</v>
      </c>
      <c r="R182" s="17" t="str">
        <f aca="false">IF(Q182=H182,"Match","Mismatch")</f>
        <v>Match</v>
      </c>
      <c r="S182" s="17" t="str">
        <f aca="false">IFERROR(INDEX(SubCatCat,MATCH(J182,SubCatName,0)),"Not found")</f>
        <v>Office Supplies</v>
      </c>
      <c r="T182" s="18" t="n">
        <f aca="false">IF(K182=0,0,N182/K182)</f>
        <v>0.075</v>
      </c>
      <c r="U182" s="17" t="str">
        <f aca="false">IF(N182&lt;0,"Loss",IF(T182&gt;=0.2,"High margin","Normal"))</f>
        <v>Normal</v>
      </c>
      <c r="V182" s="17" t="str">
        <f aca="false">IF(M182=0,"No discount",IF(M182&lt;=0.2,"Low",IF(M182&lt;=0.4,"Medium","High")))</f>
        <v>Low</v>
      </c>
      <c r="W182" s="17" t="str">
        <f aca="false">IF(OR(B182="Same Day",B182="First Class"),"Fast","Standard")</f>
        <v>Standard</v>
      </c>
      <c r="X182" s="19" t="n">
        <f aca="false">ROUND(K182/L182,2)</f>
        <v>12.41</v>
      </c>
    </row>
    <row r="183" customFormat="false" ht="15" hidden="false" customHeight="false" outlineLevel="0" collapsed="false">
      <c r="A183" s="14" t="n">
        <v>182</v>
      </c>
      <c r="B183" s="14" t="s">
        <v>127</v>
      </c>
      <c r="C183" s="14" t="s">
        <v>135</v>
      </c>
      <c r="D183" s="14" t="s">
        <v>128</v>
      </c>
      <c r="E183" s="14" t="s">
        <v>196</v>
      </c>
      <c r="F183" s="14" t="s">
        <v>174</v>
      </c>
      <c r="G183" s="14" t="n">
        <v>62521</v>
      </c>
      <c r="H183" s="14" t="s">
        <v>156</v>
      </c>
      <c r="I183" s="14" t="s">
        <v>5</v>
      </c>
      <c r="J183" s="14" t="s">
        <v>168</v>
      </c>
      <c r="K183" s="15" t="n">
        <v>408.744</v>
      </c>
      <c r="L183" s="14" t="n">
        <v>7</v>
      </c>
      <c r="M183" s="16" t="n">
        <v>0.2</v>
      </c>
      <c r="N183" s="15" t="n">
        <v>76.6395</v>
      </c>
      <c r="O183" s="17" t="str">
        <f aca="false">UPPER(LEFT(F183,3))&amp;"-"&amp;G183</f>
        <v>ILL-62521</v>
      </c>
      <c r="P183" s="17" t="str">
        <f aca="false">PROPER(TRIM(E183))</f>
        <v>Decatur</v>
      </c>
      <c r="Q183" s="17" t="str">
        <f aca="false">IFERROR(VLOOKUP(F183,Lookups!$A$2:$B$50,2,FALSE()),"Not found")</f>
        <v>Central</v>
      </c>
      <c r="R183" s="17" t="str">
        <f aca="false">IF(Q183=H183,"Match","Mismatch")</f>
        <v>Match</v>
      </c>
      <c r="S183" s="17" t="str">
        <f aca="false">IFERROR(INDEX(SubCatCat,MATCH(J183,SubCatName,0)),"Not found")</f>
        <v>Technology</v>
      </c>
      <c r="T183" s="18" t="n">
        <f aca="false">IF(K183=0,0,N183/K183)</f>
        <v>0.1875</v>
      </c>
      <c r="U183" s="17" t="str">
        <f aca="false">IF(N183&lt;0,"Loss",IF(T183&gt;=0.2,"High margin","Normal"))</f>
        <v>Normal</v>
      </c>
      <c r="V183" s="17" t="str">
        <f aca="false">IF(M183=0,"No discount",IF(M183&lt;=0.2,"Low",IF(M183&lt;=0.4,"Medium","High")))</f>
        <v>Low</v>
      </c>
      <c r="W183" s="17" t="str">
        <f aca="false">IF(OR(B183="Same Day",B183="First Class"),"Fast","Standard")</f>
        <v>Standard</v>
      </c>
      <c r="X183" s="19" t="n">
        <f aca="false">ROUND(K183/L183,2)</f>
        <v>58.39</v>
      </c>
    </row>
    <row r="184" customFormat="false" ht="15" hidden="false" customHeight="false" outlineLevel="0" collapsed="false">
      <c r="A184" s="14" t="n">
        <v>183</v>
      </c>
      <c r="B184" s="14" t="s">
        <v>127</v>
      </c>
      <c r="C184" s="14" t="s">
        <v>153</v>
      </c>
      <c r="D184" s="14" t="s">
        <v>128</v>
      </c>
      <c r="E184" s="14" t="s">
        <v>233</v>
      </c>
      <c r="F184" s="14" t="s">
        <v>234</v>
      </c>
      <c r="G184" s="14" t="n">
        <v>71203</v>
      </c>
      <c r="H184" s="14" t="s">
        <v>131</v>
      </c>
      <c r="I184" s="14" t="s">
        <v>5</v>
      </c>
      <c r="J184" s="14" t="s">
        <v>11</v>
      </c>
      <c r="K184" s="15" t="n">
        <v>503.96</v>
      </c>
      <c r="L184" s="14" t="n">
        <v>4</v>
      </c>
      <c r="M184" s="16" t="n">
        <v>0</v>
      </c>
      <c r="N184" s="15" t="n">
        <v>131.0296</v>
      </c>
      <c r="O184" s="17" t="str">
        <f aca="false">UPPER(LEFT(F184,3))&amp;"-"&amp;G184</f>
        <v>LOU-71203</v>
      </c>
      <c r="P184" s="17" t="str">
        <f aca="false">PROPER(TRIM(E184))</f>
        <v>Monroe</v>
      </c>
      <c r="Q184" s="17" t="str">
        <f aca="false">IFERROR(VLOOKUP(F184,Lookups!$A$2:$B$50,2,FALSE()),"Not found")</f>
        <v>South</v>
      </c>
      <c r="R184" s="17" t="str">
        <f aca="false">IF(Q184=H184,"Match","Mismatch")</f>
        <v>Match</v>
      </c>
      <c r="S184" s="17" t="str">
        <f aca="false">IFERROR(INDEX(SubCatCat,MATCH(J184,SubCatName,0)),"Not found")</f>
        <v>Technology</v>
      </c>
      <c r="T184" s="18" t="n">
        <f aca="false">IF(K184=0,0,N184/K184)</f>
        <v>0.26</v>
      </c>
      <c r="U184" s="17" t="str">
        <f aca="false">IF(N184&lt;0,"Loss",IF(T184&gt;=0.2,"High margin","Normal"))</f>
        <v>High margin</v>
      </c>
      <c r="V184" s="17" t="str">
        <f aca="false">IF(M184=0,"No discount",IF(M184&lt;=0.2,"Low",IF(M184&lt;=0.4,"Medium","High")))</f>
        <v>No discount</v>
      </c>
      <c r="W184" s="17" t="str">
        <f aca="false">IF(OR(B184="Same Day",B184="First Class"),"Fast","Standard")</f>
        <v>Standard</v>
      </c>
      <c r="X184" s="19" t="n">
        <f aca="false">ROUND(K184/L184,2)</f>
        <v>125.99</v>
      </c>
    </row>
    <row r="185" customFormat="false" ht="15" hidden="false" customHeight="false" outlineLevel="0" collapsed="false">
      <c r="A185" s="14" t="n">
        <v>184</v>
      </c>
      <c r="B185" s="14" t="s">
        <v>127</v>
      </c>
      <c r="C185" s="14" t="s">
        <v>153</v>
      </c>
      <c r="D185" s="14" t="s">
        <v>128</v>
      </c>
      <c r="E185" s="14" t="s">
        <v>233</v>
      </c>
      <c r="F185" s="14" t="s">
        <v>234</v>
      </c>
      <c r="G185" s="14" t="n">
        <v>71203</v>
      </c>
      <c r="H185" s="14" t="s">
        <v>131</v>
      </c>
      <c r="I185" s="14" t="s">
        <v>5</v>
      </c>
      <c r="J185" s="14" t="s">
        <v>11</v>
      </c>
      <c r="K185" s="15" t="n">
        <v>149.95</v>
      </c>
      <c r="L185" s="14" t="n">
        <v>5</v>
      </c>
      <c r="M185" s="16" t="n">
        <v>0</v>
      </c>
      <c r="N185" s="15" t="n">
        <v>41.986</v>
      </c>
      <c r="O185" s="17" t="str">
        <f aca="false">UPPER(LEFT(F185,3))&amp;"-"&amp;G185</f>
        <v>LOU-71203</v>
      </c>
      <c r="P185" s="17" t="str">
        <f aca="false">PROPER(TRIM(E185))</f>
        <v>Monroe</v>
      </c>
      <c r="Q185" s="17" t="str">
        <f aca="false">IFERROR(VLOOKUP(F185,Lookups!$A$2:$B$50,2,FALSE()),"Not found")</f>
        <v>South</v>
      </c>
      <c r="R185" s="17" t="str">
        <f aca="false">IF(Q185=H185,"Match","Mismatch")</f>
        <v>Match</v>
      </c>
      <c r="S185" s="17" t="str">
        <f aca="false">IFERROR(INDEX(SubCatCat,MATCH(J185,SubCatName,0)),"Not found")</f>
        <v>Technology</v>
      </c>
      <c r="T185" s="18" t="n">
        <f aca="false">IF(K185=0,0,N185/K185)</f>
        <v>0.28</v>
      </c>
      <c r="U185" s="17" t="str">
        <f aca="false">IF(N185&lt;0,"Loss",IF(T185&gt;=0.2,"High margin","Normal"))</f>
        <v>High margin</v>
      </c>
      <c r="V185" s="17" t="str">
        <f aca="false">IF(M185=0,"No discount",IF(M185&lt;=0.2,"Low",IF(M185&lt;=0.4,"Medium","High")))</f>
        <v>No discount</v>
      </c>
      <c r="W185" s="17" t="str">
        <f aca="false">IF(OR(B185="Same Day",B185="First Class"),"Fast","Standard")</f>
        <v>Standard</v>
      </c>
      <c r="X185" s="19" t="n">
        <f aca="false">ROUND(K185/L185,2)</f>
        <v>29.99</v>
      </c>
    </row>
    <row r="186" customFormat="false" ht="15" hidden="false" customHeight="false" outlineLevel="0" collapsed="false">
      <c r="A186" s="14" t="n">
        <v>185</v>
      </c>
      <c r="B186" s="14" t="s">
        <v>127</v>
      </c>
      <c r="C186" s="14" t="s">
        <v>153</v>
      </c>
      <c r="D186" s="14" t="s">
        <v>128</v>
      </c>
      <c r="E186" s="14" t="s">
        <v>233</v>
      </c>
      <c r="F186" s="14" t="s">
        <v>234</v>
      </c>
      <c r="G186" s="14" t="n">
        <v>71203</v>
      </c>
      <c r="H186" s="14" t="s">
        <v>131</v>
      </c>
      <c r="I186" s="14" t="s">
        <v>5</v>
      </c>
      <c r="J186" s="14" t="s">
        <v>168</v>
      </c>
      <c r="K186" s="15" t="n">
        <v>29</v>
      </c>
      <c r="L186" s="14" t="n">
        <v>2</v>
      </c>
      <c r="M186" s="16" t="n">
        <v>0</v>
      </c>
      <c r="N186" s="15" t="n">
        <v>7.25</v>
      </c>
      <c r="O186" s="17" t="str">
        <f aca="false">UPPER(LEFT(F186,3))&amp;"-"&amp;G186</f>
        <v>LOU-71203</v>
      </c>
      <c r="P186" s="17" t="str">
        <f aca="false">PROPER(TRIM(E186))</f>
        <v>Monroe</v>
      </c>
      <c r="Q186" s="17" t="str">
        <f aca="false">IFERROR(VLOOKUP(F186,Lookups!$A$2:$B$50,2,FALSE()),"Not found")</f>
        <v>South</v>
      </c>
      <c r="R186" s="17" t="str">
        <f aca="false">IF(Q186=H186,"Match","Mismatch")</f>
        <v>Match</v>
      </c>
      <c r="S186" s="17" t="str">
        <f aca="false">IFERROR(INDEX(SubCatCat,MATCH(J186,SubCatName,0)),"Not found")</f>
        <v>Technology</v>
      </c>
      <c r="T186" s="18" t="n">
        <f aca="false">IF(K186=0,0,N186/K186)</f>
        <v>0.25</v>
      </c>
      <c r="U186" s="17" t="str">
        <f aca="false">IF(N186&lt;0,"Loss",IF(T186&gt;=0.2,"High margin","Normal"))</f>
        <v>High margin</v>
      </c>
      <c r="V186" s="17" t="str">
        <f aca="false">IF(M186=0,"No discount",IF(M186&lt;=0.2,"Low",IF(M186&lt;=0.4,"Medium","High")))</f>
        <v>No discount</v>
      </c>
      <c r="W186" s="17" t="str">
        <f aca="false">IF(OR(B186="Same Day",B186="First Class"),"Fast","Standard")</f>
        <v>Standard</v>
      </c>
      <c r="X186" s="19" t="n">
        <f aca="false">ROUND(K186/L186,2)</f>
        <v>14.5</v>
      </c>
    </row>
    <row r="187" customFormat="false" ht="15" hidden="false" customHeight="false" outlineLevel="0" collapsed="false">
      <c r="A187" s="14" t="n">
        <v>186</v>
      </c>
      <c r="B187" s="14" t="s">
        <v>139</v>
      </c>
      <c r="C187" s="14" t="s">
        <v>7</v>
      </c>
      <c r="D187" s="14" t="s">
        <v>128</v>
      </c>
      <c r="E187" s="14" t="s">
        <v>235</v>
      </c>
      <c r="F187" s="14" t="s">
        <v>236</v>
      </c>
      <c r="G187" s="14" t="n">
        <v>6824</v>
      </c>
      <c r="H187" s="14" t="s">
        <v>166</v>
      </c>
      <c r="I187" s="14" t="s">
        <v>137</v>
      </c>
      <c r="J187" s="14" t="s">
        <v>146</v>
      </c>
      <c r="K187" s="15" t="n">
        <v>7.16</v>
      </c>
      <c r="L187" s="14" t="n">
        <v>2</v>
      </c>
      <c r="M187" s="16" t="n">
        <v>0</v>
      </c>
      <c r="N187" s="15" t="n">
        <v>3.4368</v>
      </c>
      <c r="O187" s="17" t="str">
        <f aca="false">UPPER(LEFT(F187,3))&amp;"-"&amp;G187</f>
        <v>CON-6824</v>
      </c>
      <c r="P187" s="17" t="str">
        <f aca="false">PROPER(TRIM(E187))</f>
        <v>Fairfield</v>
      </c>
      <c r="Q187" s="17" t="str">
        <f aca="false">IFERROR(VLOOKUP(F187,Lookups!$A$2:$B$50,2,FALSE()),"Not found")</f>
        <v>East</v>
      </c>
      <c r="R187" s="17" t="str">
        <f aca="false">IF(Q187=H187,"Match","Mismatch")</f>
        <v>Match</v>
      </c>
      <c r="S187" s="17" t="str">
        <f aca="false">IFERROR(INDEX(SubCatCat,MATCH(J187,SubCatName,0)),"Not found")</f>
        <v>Office Supplies</v>
      </c>
      <c r="T187" s="18" t="n">
        <f aca="false">IF(K187=0,0,N187/K187)</f>
        <v>0.48</v>
      </c>
      <c r="U187" s="17" t="str">
        <f aca="false">IF(N187&lt;0,"Loss",IF(T187&gt;=0.2,"High margin","Normal"))</f>
        <v>High margin</v>
      </c>
      <c r="V187" s="17" t="str">
        <f aca="false">IF(M187=0,"No discount",IF(M187&lt;=0.2,"Low",IF(M187&lt;=0.4,"Medium","High")))</f>
        <v>No discount</v>
      </c>
      <c r="W187" s="17" t="str">
        <f aca="false">IF(OR(B187="Same Day",B187="First Class"),"Fast","Standard")</f>
        <v>Standard</v>
      </c>
      <c r="X187" s="19" t="n">
        <f aca="false">ROUND(K187/L187,2)</f>
        <v>3.58</v>
      </c>
    </row>
    <row r="188" customFormat="false" ht="15" hidden="false" customHeight="false" outlineLevel="0" collapsed="false">
      <c r="A188" s="14" t="n">
        <v>187</v>
      </c>
      <c r="B188" s="14" t="s">
        <v>139</v>
      </c>
      <c r="C188" s="14" t="s">
        <v>153</v>
      </c>
      <c r="D188" s="14" t="s">
        <v>128</v>
      </c>
      <c r="E188" s="14" t="s">
        <v>136</v>
      </c>
      <c r="F188" s="14" t="s">
        <v>9</v>
      </c>
      <c r="G188" s="14" t="n">
        <v>90032</v>
      </c>
      <c r="H188" s="14" t="s">
        <v>3</v>
      </c>
      <c r="I188" s="14" t="s">
        <v>5</v>
      </c>
      <c r="J188" s="14" t="s">
        <v>168</v>
      </c>
      <c r="K188" s="15" t="n">
        <v>176.8</v>
      </c>
      <c r="L188" s="14" t="n">
        <v>8</v>
      </c>
      <c r="M188" s="16" t="n">
        <v>0</v>
      </c>
      <c r="N188" s="15" t="n">
        <v>22.984</v>
      </c>
      <c r="O188" s="17" t="str">
        <f aca="false">UPPER(LEFT(F188,3))&amp;"-"&amp;G188</f>
        <v>CAL-90032</v>
      </c>
      <c r="P188" s="17" t="str">
        <f aca="false">PROPER(TRIM(E188))</f>
        <v>Los Angeles</v>
      </c>
      <c r="Q188" s="17" t="str">
        <f aca="false">IFERROR(VLOOKUP(F188,Lookups!$A$2:$B$50,2,FALSE()),"Not found")</f>
        <v>West</v>
      </c>
      <c r="R188" s="17" t="str">
        <f aca="false">IF(Q188=H188,"Match","Mismatch")</f>
        <v>Match</v>
      </c>
      <c r="S188" s="17" t="str">
        <f aca="false">IFERROR(INDEX(SubCatCat,MATCH(J188,SubCatName,0)),"Not found")</f>
        <v>Technology</v>
      </c>
      <c r="T188" s="18" t="n">
        <f aca="false">IF(K188=0,0,N188/K188)</f>
        <v>0.13</v>
      </c>
      <c r="U188" s="17" t="str">
        <f aca="false">IF(N188&lt;0,"Loss",IF(T188&gt;=0.2,"High margin","Normal"))</f>
        <v>Normal</v>
      </c>
      <c r="V188" s="17" t="str">
        <f aca="false">IF(M188=0,"No discount",IF(M188&lt;=0.2,"Low",IF(M188&lt;=0.4,"Medium","High")))</f>
        <v>No discount</v>
      </c>
      <c r="W188" s="17" t="str">
        <f aca="false">IF(OR(B188="Same Day",B188="First Class"),"Fast","Standard")</f>
        <v>Standard</v>
      </c>
      <c r="X188" s="19" t="n">
        <f aca="false">ROUND(K188/L188,2)</f>
        <v>22.1</v>
      </c>
    </row>
    <row r="189" customFormat="false" ht="15" hidden="false" customHeight="false" outlineLevel="0" collapsed="false">
      <c r="A189" s="14" t="n">
        <v>188</v>
      </c>
      <c r="B189" s="14" t="s">
        <v>139</v>
      </c>
      <c r="C189" s="14" t="s">
        <v>135</v>
      </c>
      <c r="D189" s="14" t="s">
        <v>128</v>
      </c>
      <c r="E189" s="14" t="s">
        <v>237</v>
      </c>
      <c r="F189" s="14" t="s">
        <v>155</v>
      </c>
      <c r="G189" s="14" t="n">
        <v>75051</v>
      </c>
      <c r="H189" s="14" t="s">
        <v>156</v>
      </c>
      <c r="I189" s="14" t="s">
        <v>137</v>
      </c>
      <c r="J189" s="14" t="s">
        <v>143</v>
      </c>
      <c r="K189" s="15" t="n">
        <v>37.224</v>
      </c>
      <c r="L189" s="14" t="n">
        <v>3</v>
      </c>
      <c r="M189" s="16" t="n">
        <v>0.2</v>
      </c>
      <c r="N189" s="15" t="n">
        <v>3.7224</v>
      </c>
      <c r="O189" s="17" t="str">
        <f aca="false">UPPER(LEFT(F189,3))&amp;"-"&amp;G189</f>
        <v>TEX-75051</v>
      </c>
      <c r="P189" s="17" t="str">
        <f aca="false">PROPER(TRIM(E189))</f>
        <v>Grand Prairie</v>
      </c>
      <c r="Q189" s="17" t="str">
        <f aca="false">IFERROR(VLOOKUP(F189,Lookups!$A$2:$B$50,2,FALSE()),"Not found")</f>
        <v>Central</v>
      </c>
      <c r="R189" s="17" t="str">
        <f aca="false">IF(Q189=H189,"Match","Mismatch")</f>
        <v>Match</v>
      </c>
      <c r="S189" s="17" t="str">
        <f aca="false">IFERROR(INDEX(SubCatCat,MATCH(J189,SubCatName,0)),"Not found")</f>
        <v>Office Supplies</v>
      </c>
      <c r="T189" s="18" t="n">
        <f aca="false">IF(K189=0,0,N189/K189)</f>
        <v>0.1</v>
      </c>
      <c r="U189" s="17" t="str">
        <f aca="false">IF(N189&lt;0,"Loss",IF(T189&gt;=0.2,"High margin","Normal"))</f>
        <v>Normal</v>
      </c>
      <c r="V189" s="17" t="str">
        <f aca="false">IF(M189=0,"No discount",IF(M189&lt;=0.2,"Low",IF(M189&lt;=0.4,"Medium","High")))</f>
        <v>Low</v>
      </c>
      <c r="W189" s="17" t="str">
        <f aca="false">IF(OR(B189="Same Day",B189="First Class"),"Fast","Standard")</f>
        <v>Standard</v>
      </c>
      <c r="X189" s="19" t="n">
        <f aca="false">ROUND(K189/L189,2)</f>
        <v>12.41</v>
      </c>
    </row>
    <row r="190" customFormat="false" ht="15" hidden="false" customHeight="false" outlineLevel="0" collapsed="false">
      <c r="A190" s="14" t="n">
        <v>189</v>
      </c>
      <c r="B190" s="14" t="s">
        <v>139</v>
      </c>
      <c r="C190" s="14" t="s">
        <v>135</v>
      </c>
      <c r="D190" s="14" t="s">
        <v>128</v>
      </c>
      <c r="E190" s="14" t="s">
        <v>237</v>
      </c>
      <c r="F190" s="14" t="s">
        <v>155</v>
      </c>
      <c r="G190" s="14" t="n">
        <v>75051</v>
      </c>
      <c r="H190" s="14" t="s">
        <v>156</v>
      </c>
      <c r="I190" s="14" t="s">
        <v>137</v>
      </c>
      <c r="J190" s="14" t="s">
        <v>150</v>
      </c>
      <c r="K190" s="15" t="n">
        <v>20.016</v>
      </c>
      <c r="L190" s="14" t="n">
        <v>3</v>
      </c>
      <c r="M190" s="16" t="n">
        <v>0.2</v>
      </c>
      <c r="N190" s="15" t="n">
        <v>6.255</v>
      </c>
      <c r="O190" s="17" t="str">
        <f aca="false">UPPER(LEFT(F190,3))&amp;"-"&amp;G190</f>
        <v>TEX-75051</v>
      </c>
      <c r="P190" s="17" t="str">
        <f aca="false">PROPER(TRIM(E190))</f>
        <v>Grand Prairie</v>
      </c>
      <c r="Q190" s="17" t="str">
        <f aca="false">IFERROR(VLOOKUP(F190,Lookups!$A$2:$B$50,2,FALSE()),"Not found")</f>
        <v>Central</v>
      </c>
      <c r="R190" s="17" t="str">
        <f aca="false">IF(Q190=H190,"Match","Mismatch")</f>
        <v>Match</v>
      </c>
      <c r="S190" s="17" t="str">
        <f aca="false">IFERROR(INDEX(SubCatCat,MATCH(J190,SubCatName,0)),"Not found")</f>
        <v>Office Supplies</v>
      </c>
      <c r="T190" s="18" t="n">
        <f aca="false">IF(K190=0,0,N190/K190)</f>
        <v>0.3125</v>
      </c>
      <c r="U190" s="17" t="str">
        <f aca="false">IF(N190&lt;0,"Loss",IF(T190&gt;=0.2,"High margin","Normal"))</f>
        <v>High margin</v>
      </c>
      <c r="V190" s="17" t="str">
        <f aca="false">IF(M190=0,"No discount",IF(M190&lt;=0.2,"Low",IF(M190&lt;=0.4,"Medium","High")))</f>
        <v>Low</v>
      </c>
      <c r="W190" s="17" t="str">
        <f aca="false">IF(OR(B190="Same Day",B190="First Class"),"Fast","Standard")</f>
        <v>Standard</v>
      </c>
      <c r="X190" s="19" t="n">
        <f aca="false">ROUND(K190/L190,2)</f>
        <v>6.67</v>
      </c>
    </row>
    <row r="191" customFormat="false" ht="15" hidden="false" customHeight="false" outlineLevel="0" collapsed="false">
      <c r="A191" s="14" t="n">
        <v>190</v>
      </c>
      <c r="B191" s="14" t="s">
        <v>171</v>
      </c>
      <c r="C191" s="14" t="s">
        <v>153</v>
      </c>
      <c r="D191" s="14" t="s">
        <v>128</v>
      </c>
      <c r="E191" s="14" t="s">
        <v>184</v>
      </c>
      <c r="F191" s="14" t="s">
        <v>185</v>
      </c>
      <c r="G191" s="14" t="n">
        <v>10035</v>
      </c>
      <c r="H191" s="14" t="s">
        <v>166</v>
      </c>
      <c r="I191" s="14" t="s">
        <v>132</v>
      </c>
      <c r="J191" s="14" t="s">
        <v>133</v>
      </c>
      <c r="K191" s="15" t="n">
        <v>899.136</v>
      </c>
      <c r="L191" s="14" t="n">
        <v>4</v>
      </c>
      <c r="M191" s="16" t="n">
        <v>0.2</v>
      </c>
      <c r="N191" s="15" t="n">
        <v>112.392</v>
      </c>
      <c r="O191" s="17" t="str">
        <f aca="false">UPPER(LEFT(F191,3))&amp;"-"&amp;G191</f>
        <v>NEW-10035</v>
      </c>
      <c r="P191" s="17" t="str">
        <f aca="false">PROPER(TRIM(E191))</f>
        <v>New York City</v>
      </c>
      <c r="Q191" s="17" t="str">
        <f aca="false">IFERROR(VLOOKUP(F191,Lookups!$A$2:$B$50,2,FALSE()),"Not found")</f>
        <v>East</v>
      </c>
      <c r="R191" s="17" t="str">
        <f aca="false">IF(Q191=H191,"Match","Mismatch")</f>
        <v>Match</v>
      </c>
      <c r="S191" s="17" t="str">
        <f aca="false">IFERROR(INDEX(SubCatCat,MATCH(J191,SubCatName,0)),"Not found")</f>
        <v>Furniture</v>
      </c>
      <c r="T191" s="18" t="n">
        <f aca="false">IF(K191=0,0,N191/K191)</f>
        <v>0.125</v>
      </c>
      <c r="U191" s="17" t="str">
        <f aca="false">IF(N191&lt;0,"Loss",IF(T191&gt;=0.2,"High margin","Normal"))</f>
        <v>Normal</v>
      </c>
      <c r="V191" s="17" t="str">
        <f aca="false">IF(M191=0,"No discount",IF(M191&lt;=0.2,"Low",IF(M191&lt;=0.4,"Medium","High")))</f>
        <v>Low</v>
      </c>
      <c r="W191" s="17" t="str">
        <f aca="false">IF(OR(B191="Same Day",B191="First Class"),"Fast","Standard")</f>
        <v>Fast</v>
      </c>
      <c r="X191" s="19" t="n">
        <f aca="false">ROUND(K191/L191,2)</f>
        <v>224.78</v>
      </c>
    </row>
    <row r="192" customFormat="false" ht="15" hidden="false" customHeight="false" outlineLevel="0" collapsed="false">
      <c r="A192" s="14" t="n">
        <v>191</v>
      </c>
      <c r="B192" s="14" t="s">
        <v>171</v>
      </c>
      <c r="C192" s="14" t="s">
        <v>153</v>
      </c>
      <c r="D192" s="14" t="s">
        <v>128</v>
      </c>
      <c r="E192" s="14" t="s">
        <v>184</v>
      </c>
      <c r="F192" s="14" t="s">
        <v>185</v>
      </c>
      <c r="G192" s="14" t="n">
        <v>10035</v>
      </c>
      <c r="H192" s="14" t="s">
        <v>166</v>
      </c>
      <c r="I192" s="14" t="s">
        <v>5</v>
      </c>
      <c r="J192" s="14" t="s">
        <v>11</v>
      </c>
      <c r="K192" s="15" t="n">
        <v>71.76</v>
      </c>
      <c r="L192" s="14" t="n">
        <v>6</v>
      </c>
      <c r="M192" s="16" t="n">
        <v>0</v>
      </c>
      <c r="N192" s="15" t="n">
        <v>20.0928</v>
      </c>
      <c r="O192" s="17" t="str">
        <f aca="false">UPPER(LEFT(F192,3))&amp;"-"&amp;G192</f>
        <v>NEW-10035</v>
      </c>
      <c r="P192" s="17" t="str">
        <f aca="false">PROPER(TRIM(E192))</f>
        <v>New York City</v>
      </c>
      <c r="Q192" s="17" t="str">
        <f aca="false">IFERROR(VLOOKUP(F192,Lookups!$A$2:$B$50,2,FALSE()),"Not found")</f>
        <v>East</v>
      </c>
      <c r="R192" s="17" t="str">
        <f aca="false">IF(Q192=H192,"Match","Mismatch")</f>
        <v>Match</v>
      </c>
      <c r="S192" s="17" t="str">
        <f aca="false">IFERROR(INDEX(SubCatCat,MATCH(J192,SubCatName,0)),"Not found")</f>
        <v>Technology</v>
      </c>
      <c r="T192" s="18" t="n">
        <f aca="false">IF(K192=0,0,N192/K192)</f>
        <v>0.28</v>
      </c>
      <c r="U192" s="17" t="str">
        <f aca="false">IF(N192&lt;0,"Loss",IF(T192&gt;=0.2,"High margin","Normal"))</f>
        <v>High margin</v>
      </c>
      <c r="V192" s="17" t="str">
        <f aca="false">IF(M192=0,"No discount",IF(M192&lt;=0.2,"Low",IF(M192&lt;=0.4,"Medium","High")))</f>
        <v>No discount</v>
      </c>
      <c r="W192" s="17" t="str">
        <f aca="false">IF(OR(B192="Same Day",B192="First Class"),"Fast","Standard")</f>
        <v>Fast</v>
      </c>
      <c r="X192" s="19" t="n">
        <f aca="false">ROUND(K192/L192,2)</f>
        <v>11.96</v>
      </c>
    </row>
    <row r="193" customFormat="false" ht="15" hidden="false" customHeight="false" outlineLevel="0" collapsed="false">
      <c r="A193" s="14" t="n">
        <v>192</v>
      </c>
      <c r="B193" s="14" t="s">
        <v>171</v>
      </c>
      <c r="C193" s="14" t="s">
        <v>153</v>
      </c>
      <c r="D193" s="14" t="s">
        <v>128</v>
      </c>
      <c r="E193" s="14" t="s">
        <v>184</v>
      </c>
      <c r="F193" s="14" t="s">
        <v>185</v>
      </c>
      <c r="G193" s="14" t="n">
        <v>10035</v>
      </c>
      <c r="H193" s="14" t="s">
        <v>166</v>
      </c>
      <c r="I193" s="14" t="s">
        <v>137</v>
      </c>
      <c r="J193" s="14" t="s">
        <v>150</v>
      </c>
      <c r="K193" s="15" t="n">
        <v>51.84</v>
      </c>
      <c r="L193" s="14" t="n">
        <v>8</v>
      </c>
      <c r="M193" s="16" t="n">
        <v>0</v>
      </c>
      <c r="N193" s="15" t="n">
        <v>24.8832</v>
      </c>
      <c r="O193" s="17" t="str">
        <f aca="false">UPPER(LEFT(F193,3))&amp;"-"&amp;G193</f>
        <v>NEW-10035</v>
      </c>
      <c r="P193" s="17" t="str">
        <f aca="false">PROPER(TRIM(E193))</f>
        <v>New York City</v>
      </c>
      <c r="Q193" s="17" t="str">
        <f aca="false">IFERROR(VLOOKUP(F193,Lookups!$A$2:$B$50,2,FALSE()),"Not found")</f>
        <v>East</v>
      </c>
      <c r="R193" s="17" t="str">
        <f aca="false">IF(Q193=H193,"Match","Mismatch")</f>
        <v>Match</v>
      </c>
      <c r="S193" s="17" t="str">
        <f aca="false">IFERROR(INDEX(SubCatCat,MATCH(J193,SubCatName,0)),"Not found")</f>
        <v>Office Supplies</v>
      </c>
      <c r="T193" s="18" t="n">
        <f aca="false">IF(K193=0,0,N193/K193)</f>
        <v>0.48</v>
      </c>
      <c r="U193" s="17" t="str">
        <f aca="false">IF(N193&lt;0,"Loss",IF(T193&gt;=0.2,"High margin","Normal"))</f>
        <v>High margin</v>
      </c>
      <c r="V193" s="17" t="str">
        <f aca="false">IF(M193=0,"No discount",IF(M193&lt;=0.2,"Low",IF(M193&lt;=0.4,"Medium","High")))</f>
        <v>No discount</v>
      </c>
      <c r="W193" s="17" t="str">
        <f aca="false">IF(OR(B193="Same Day",B193="First Class"),"Fast","Standard")</f>
        <v>Fast</v>
      </c>
      <c r="X193" s="19" t="n">
        <f aca="false">ROUND(K193/L193,2)</f>
        <v>6.48</v>
      </c>
    </row>
    <row r="194" customFormat="false" ht="15" hidden="false" customHeight="false" outlineLevel="0" collapsed="false">
      <c r="A194" s="14" t="n">
        <v>193</v>
      </c>
      <c r="B194" s="14" t="s">
        <v>171</v>
      </c>
      <c r="C194" s="14" t="s">
        <v>153</v>
      </c>
      <c r="D194" s="14" t="s">
        <v>128</v>
      </c>
      <c r="E194" s="14" t="s">
        <v>184</v>
      </c>
      <c r="F194" s="14" t="s">
        <v>185</v>
      </c>
      <c r="G194" s="14" t="n">
        <v>10035</v>
      </c>
      <c r="H194" s="14" t="s">
        <v>166</v>
      </c>
      <c r="I194" s="14" t="s">
        <v>132</v>
      </c>
      <c r="J194" s="14" t="s">
        <v>133</v>
      </c>
      <c r="K194" s="15" t="n">
        <v>626.352</v>
      </c>
      <c r="L194" s="14" t="n">
        <v>3</v>
      </c>
      <c r="M194" s="16" t="n">
        <v>0.2</v>
      </c>
      <c r="N194" s="15" t="n">
        <v>46.9764</v>
      </c>
      <c r="O194" s="17" t="str">
        <f aca="false">UPPER(LEFT(F194,3))&amp;"-"&amp;G194</f>
        <v>NEW-10035</v>
      </c>
      <c r="P194" s="17" t="str">
        <f aca="false">PROPER(TRIM(E194))</f>
        <v>New York City</v>
      </c>
      <c r="Q194" s="17" t="str">
        <f aca="false">IFERROR(VLOOKUP(F194,Lookups!$A$2:$B$50,2,FALSE()),"Not found")</f>
        <v>East</v>
      </c>
      <c r="R194" s="17" t="str">
        <f aca="false">IF(Q194=H194,"Match","Mismatch")</f>
        <v>Match</v>
      </c>
      <c r="S194" s="17" t="str">
        <f aca="false">IFERROR(INDEX(SubCatCat,MATCH(J194,SubCatName,0)),"Not found")</f>
        <v>Furniture</v>
      </c>
      <c r="T194" s="18" t="n">
        <f aca="false">IF(K194=0,0,N194/K194)</f>
        <v>0.075</v>
      </c>
      <c r="U194" s="17" t="str">
        <f aca="false">IF(N194&lt;0,"Loss",IF(T194&gt;=0.2,"High margin","Normal"))</f>
        <v>Normal</v>
      </c>
      <c r="V194" s="17" t="str">
        <f aca="false">IF(M194=0,"No discount",IF(M194&lt;=0.2,"Low",IF(M194&lt;=0.4,"Medium","High")))</f>
        <v>Low</v>
      </c>
      <c r="W194" s="17" t="str">
        <f aca="false">IF(OR(B194="Same Day",B194="First Class"),"Fast","Standard")</f>
        <v>Fast</v>
      </c>
      <c r="X194" s="19" t="n">
        <f aca="false">ROUND(K194/L194,2)</f>
        <v>208.78</v>
      </c>
    </row>
    <row r="195" customFormat="false" ht="15" hidden="false" customHeight="false" outlineLevel="0" collapsed="false">
      <c r="A195" s="14" t="n">
        <v>194</v>
      </c>
      <c r="B195" s="14" t="s">
        <v>171</v>
      </c>
      <c r="C195" s="14" t="s">
        <v>153</v>
      </c>
      <c r="D195" s="14" t="s">
        <v>128</v>
      </c>
      <c r="E195" s="14" t="s">
        <v>184</v>
      </c>
      <c r="F195" s="14" t="s">
        <v>185</v>
      </c>
      <c r="G195" s="14" t="n">
        <v>10035</v>
      </c>
      <c r="H195" s="14" t="s">
        <v>166</v>
      </c>
      <c r="I195" s="14" t="s">
        <v>137</v>
      </c>
      <c r="J195" s="14" t="s">
        <v>145</v>
      </c>
      <c r="K195" s="15" t="n">
        <v>19.9</v>
      </c>
      <c r="L195" s="14" t="n">
        <v>5</v>
      </c>
      <c r="M195" s="16" t="n">
        <v>0</v>
      </c>
      <c r="N195" s="15" t="n">
        <v>6.567</v>
      </c>
      <c r="O195" s="17" t="str">
        <f aca="false">UPPER(LEFT(F195,3))&amp;"-"&amp;G195</f>
        <v>NEW-10035</v>
      </c>
      <c r="P195" s="17" t="str">
        <f aca="false">PROPER(TRIM(E195))</f>
        <v>New York City</v>
      </c>
      <c r="Q195" s="17" t="str">
        <f aca="false">IFERROR(VLOOKUP(F195,Lookups!$A$2:$B$50,2,FALSE()),"Not found")</f>
        <v>East</v>
      </c>
      <c r="R195" s="17" t="str">
        <f aca="false">IF(Q195=H195,"Match","Mismatch")</f>
        <v>Match</v>
      </c>
      <c r="S195" s="17" t="str">
        <f aca="false">IFERROR(INDEX(SubCatCat,MATCH(J195,SubCatName,0)),"Not found")</f>
        <v>Office Supplies</v>
      </c>
      <c r="T195" s="18" t="n">
        <f aca="false">IF(K195=0,0,N195/K195)</f>
        <v>0.33</v>
      </c>
      <c r="U195" s="17" t="str">
        <f aca="false">IF(N195&lt;0,"Loss",IF(T195&gt;=0.2,"High margin","Normal"))</f>
        <v>High margin</v>
      </c>
      <c r="V195" s="17" t="str">
        <f aca="false">IF(M195=0,"No discount",IF(M195&lt;=0.2,"Low",IF(M195&lt;=0.4,"Medium","High")))</f>
        <v>No discount</v>
      </c>
      <c r="W195" s="17" t="str">
        <f aca="false">IF(OR(B195="Same Day",B195="First Class"),"Fast","Standard")</f>
        <v>Fast</v>
      </c>
      <c r="X195" s="19" t="n">
        <f aca="false">ROUND(K195/L195,2)</f>
        <v>3.98</v>
      </c>
    </row>
    <row r="196" customFormat="false" ht="15" hidden="false" customHeight="false" outlineLevel="0" collapsed="false">
      <c r="A196" s="14" t="n">
        <v>195</v>
      </c>
      <c r="B196" s="14" t="s">
        <v>139</v>
      </c>
      <c r="C196" s="14" t="s">
        <v>135</v>
      </c>
      <c r="D196" s="14" t="s">
        <v>128</v>
      </c>
      <c r="E196" s="14" t="s">
        <v>238</v>
      </c>
      <c r="F196" s="14" t="s">
        <v>9</v>
      </c>
      <c r="G196" s="14" t="n">
        <v>92374</v>
      </c>
      <c r="H196" s="14" t="s">
        <v>3</v>
      </c>
      <c r="I196" s="14" t="s">
        <v>137</v>
      </c>
      <c r="J196" s="14" t="s">
        <v>169</v>
      </c>
      <c r="K196" s="15" t="n">
        <v>14.28</v>
      </c>
      <c r="L196" s="14" t="n">
        <v>7</v>
      </c>
      <c r="M196" s="16" t="n">
        <v>0</v>
      </c>
      <c r="N196" s="15" t="n">
        <v>6.7116</v>
      </c>
      <c r="O196" s="17" t="str">
        <f aca="false">UPPER(LEFT(F196,3))&amp;"-"&amp;G196</f>
        <v>CAL-92374</v>
      </c>
      <c r="P196" s="17" t="str">
        <f aca="false">PROPER(TRIM(E196))</f>
        <v>Redlands</v>
      </c>
      <c r="Q196" s="17" t="str">
        <f aca="false">IFERROR(VLOOKUP(F196,Lookups!$A$2:$B$50,2,FALSE()),"Not found")</f>
        <v>West</v>
      </c>
      <c r="R196" s="17" t="str">
        <f aca="false">IF(Q196=H196,"Match","Mismatch")</f>
        <v>Match</v>
      </c>
      <c r="S196" s="17" t="str">
        <f aca="false">IFERROR(INDEX(SubCatCat,MATCH(J196,SubCatName,0)),"Not found")</f>
        <v>Office Supplies</v>
      </c>
      <c r="T196" s="18" t="n">
        <f aca="false">IF(K196=0,0,N196/K196)</f>
        <v>0.47</v>
      </c>
      <c r="U196" s="17" t="str">
        <f aca="false">IF(N196&lt;0,"Loss",IF(T196&gt;=0.2,"High margin","Normal"))</f>
        <v>High margin</v>
      </c>
      <c r="V196" s="17" t="str">
        <f aca="false">IF(M196=0,"No discount",IF(M196&lt;=0.2,"Low",IF(M196&lt;=0.4,"Medium","High")))</f>
        <v>No discount</v>
      </c>
      <c r="W196" s="17" t="str">
        <f aca="false">IF(OR(B196="Same Day",B196="First Class"),"Fast","Standard")</f>
        <v>Standard</v>
      </c>
      <c r="X196" s="19" t="n">
        <f aca="false">ROUND(K196/L196,2)</f>
        <v>2.04</v>
      </c>
    </row>
    <row r="197" customFormat="false" ht="15" hidden="false" customHeight="false" outlineLevel="0" collapsed="false">
      <c r="A197" s="14" t="n">
        <v>196</v>
      </c>
      <c r="B197" s="14" t="s">
        <v>139</v>
      </c>
      <c r="C197" s="14" t="s">
        <v>7</v>
      </c>
      <c r="D197" s="14" t="s">
        <v>128</v>
      </c>
      <c r="E197" s="14" t="s">
        <v>239</v>
      </c>
      <c r="F197" s="14" t="s">
        <v>213</v>
      </c>
      <c r="G197" s="14" t="n">
        <v>45011</v>
      </c>
      <c r="H197" s="14" t="s">
        <v>166</v>
      </c>
      <c r="I197" s="14" t="s">
        <v>137</v>
      </c>
      <c r="J197" s="14" t="s">
        <v>145</v>
      </c>
      <c r="K197" s="15" t="n">
        <v>7.408</v>
      </c>
      <c r="L197" s="14" t="n">
        <v>2</v>
      </c>
      <c r="M197" s="16" t="n">
        <v>0.2</v>
      </c>
      <c r="N197" s="15" t="n">
        <v>1.2038</v>
      </c>
      <c r="O197" s="17" t="str">
        <f aca="false">UPPER(LEFT(F197,3))&amp;"-"&amp;G197</f>
        <v>OHI-45011</v>
      </c>
      <c r="P197" s="17" t="str">
        <f aca="false">PROPER(TRIM(E197))</f>
        <v>Hamilton</v>
      </c>
      <c r="Q197" s="17" t="str">
        <f aca="false">IFERROR(VLOOKUP(F197,Lookups!$A$2:$B$50,2,FALSE()),"Not found")</f>
        <v>East</v>
      </c>
      <c r="R197" s="17" t="str">
        <f aca="false">IF(Q197=H197,"Match","Mismatch")</f>
        <v>Match</v>
      </c>
      <c r="S197" s="17" t="str">
        <f aca="false">IFERROR(INDEX(SubCatCat,MATCH(J197,SubCatName,0)),"Not found")</f>
        <v>Office Supplies</v>
      </c>
      <c r="T197" s="18" t="n">
        <f aca="false">IF(K197=0,0,N197/K197)</f>
        <v>0.1625</v>
      </c>
      <c r="U197" s="17" t="str">
        <f aca="false">IF(N197&lt;0,"Loss",IF(T197&gt;=0.2,"High margin","Normal"))</f>
        <v>Normal</v>
      </c>
      <c r="V197" s="17" t="str">
        <f aca="false">IF(M197=0,"No discount",IF(M197&lt;=0.2,"Low",IF(M197&lt;=0.4,"Medium","High")))</f>
        <v>Low</v>
      </c>
      <c r="W197" s="17" t="str">
        <f aca="false">IF(OR(B197="Same Day",B197="First Class"),"Fast","Standard")</f>
        <v>Standard</v>
      </c>
      <c r="X197" s="19" t="n">
        <f aca="false">ROUND(K197/L197,2)</f>
        <v>3.7</v>
      </c>
    </row>
    <row r="198" customFormat="false" ht="15" hidden="false" customHeight="false" outlineLevel="0" collapsed="false">
      <c r="A198" s="14" t="n">
        <v>197</v>
      </c>
      <c r="B198" s="14" t="s">
        <v>139</v>
      </c>
      <c r="C198" s="14" t="s">
        <v>7</v>
      </c>
      <c r="D198" s="14" t="s">
        <v>128</v>
      </c>
      <c r="E198" s="14" t="s">
        <v>239</v>
      </c>
      <c r="F198" s="14" t="s">
        <v>213</v>
      </c>
      <c r="G198" s="14" t="n">
        <v>45011</v>
      </c>
      <c r="H198" s="14" t="s">
        <v>166</v>
      </c>
      <c r="I198" s="14" t="s">
        <v>137</v>
      </c>
      <c r="J198" s="14" t="s">
        <v>145</v>
      </c>
      <c r="K198" s="15" t="n">
        <v>6.048</v>
      </c>
      <c r="L198" s="14" t="n">
        <v>3</v>
      </c>
      <c r="M198" s="16" t="n">
        <v>0.2</v>
      </c>
      <c r="N198" s="15" t="n">
        <v>1.5876</v>
      </c>
      <c r="O198" s="17" t="str">
        <f aca="false">UPPER(LEFT(F198,3))&amp;"-"&amp;G198</f>
        <v>OHI-45011</v>
      </c>
      <c r="P198" s="17" t="str">
        <f aca="false">PROPER(TRIM(E198))</f>
        <v>Hamilton</v>
      </c>
      <c r="Q198" s="17" t="str">
        <f aca="false">IFERROR(VLOOKUP(F198,Lookups!$A$2:$B$50,2,FALSE()),"Not found")</f>
        <v>East</v>
      </c>
      <c r="R198" s="17" t="str">
        <f aca="false">IF(Q198=H198,"Match","Mismatch")</f>
        <v>Match</v>
      </c>
      <c r="S198" s="17" t="str">
        <f aca="false">IFERROR(INDEX(SubCatCat,MATCH(J198,SubCatName,0)),"Not found")</f>
        <v>Office Supplies</v>
      </c>
      <c r="T198" s="18" t="n">
        <f aca="false">IF(K198=0,0,N198/K198)</f>
        <v>0.2625</v>
      </c>
      <c r="U198" s="17" t="str">
        <f aca="false">IF(N198&lt;0,"Loss",IF(T198&gt;=0.2,"High margin","Normal"))</f>
        <v>High margin</v>
      </c>
      <c r="V198" s="17" t="str">
        <f aca="false">IF(M198=0,"No discount",IF(M198&lt;=0.2,"Low",IF(M198&lt;=0.4,"Medium","High")))</f>
        <v>Low</v>
      </c>
      <c r="W198" s="17" t="str">
        <f aca="false">IF(OR(B198="Same Day",B198="First Class"),"Fast","Standard")</f>
        <v>Standard</v>
      </c>
      <c r="X198" s="19" t="n">
        <f aca="false">ROUND(K198/L198,2)</f>
        <v>2.02</v>
      </c>
    </row>
    <row r="199" customFormat="false" ht="15" hidden="false" customHeight="false" outlineLevel="0" collapsed="false">
      <c r="A199" s="14" t="n">
        <v>198</v>
      </c>
      <c r="B199" s="14" t="s">
        <v>139</v>
      </c>
      <c r="C199" s="14" t="s">
        <v>153</v>
      </c>
      <c r="D199" s="14" t="s">
        <v>128</v>
      </c>
      <c r="E199" s="14" t="s">
        <v>240</v>
      </c>
      <c r="F199" s="14" t="s">
        <v>241</v>
      </c>
      <c r="G199" s="14" t="n">
        <v>7090</v>
      </c>
      <c r="H199" s="14" t="s">
        <v>166</v>
      </c>
      <c r="I199" s="14" t="s">
        <v>137</v>
      </c>
      <c r="J199" s="14" t="s">
        <v>143</v>
      </c>
      <c r="K199" s="15" t="n">
        <v>46.26</v>
      </c>
      <c r="L199" s="14" t="n">
        <v>3</v>
      </c>
      <c r="M199" s="16" t="n">
        <v>0</v>
      </c>
      <c r="N199" s="15" t="n">
        <v>12.0276</v>
      </c>
      <c r="O199" s="17" t="str">
        <f aca="false">UPPER(LEFT(F199,3))&amp;"-"&amp;G199</f>
        <v>NEW-7090</v>
      </c>
      <c r="P199" s="17" t="str">
        <f aca="false">PROPER(TRIM(E199))</f>
        <v>Westfield</v>
      </c>
      <c r="Q199" s="17" t="str">
        <f aca="false">IFERROR(VLOOKUP(F199,Lookups!$A$2:$B$50,2,FALSE()),"Not found")</f>
        <v>East</v>
      </c>
      <c r="R199" s="17" t="str">
        <f aca="false">IF(Q199=H199,"Match","Mismatch")</f>
        <v>Match</v>
      </c>
      <c r="S199" s="17" t="str">
        <f aca="false">IFERROR(INDEX(SubCatCat,MATCH(J199,SubCatName,0)),"Not found")</f>
        <v>Office Supplies</v>
      </c>
      <c r="T199" s="18" t="n">
        <f aca="false">IF(K199=0,0,N199/K199)</f>
        <v>0.26</v>
      </c>
      <c r="U199" s="17" t="str">
        <f aca="false">IF(N199&lt;0,"Loss",IF(T199&gt;=0.2,"High margin","Normal"))</f>
        <v>High margin</v>
      </c>
      <c r="V199" s="17" t="str">
        <f aca="false">IF(M199=0,"No discount",IF(M199&lt;=0.2,"Low",IF(M199&lt;=0.4,"Medium","High")))</f>
        <v>No discount</v>
      </c>
      <c r="W199" s="17" t="str">
        <f aca="false">IF(OR(B199="Same Day",B199="First Class"),"Fast","Standard")</f>
        <v>Standard</v>
      </c>
      <c r="X199" s="19" t="n">
        <f aca="false">ROUND(K199/L199,2)</f>
        <v>15.42</v>
      </c>
    </row>
    <row r="200" customFormat="false" ht="15" hidden="false" customHeight="false" outlineLevel="0" collapsed="false">
      <c r="A200" s="14" t="n">
        <v>199</v>
      </c>
      <c r="B200" s="14" t="s">
        <v>139</v>
      </c>
      <c r="C200" s="14" t="s">
        <v>135</v>
      </c>
      <c r="D200" s="14" t="s">
        <v>128</v>
      </c>
      <c r="E200" s="14" t="s">
        <v>164</v>
      </c>
      <c r="F200" s="14" t="s">
        <v>165</v>
      </c>
      <c r="G200" s="14" t="n">
        <v>19120</v>
      </c>
      <c r="H200" s="14" t="s">
        <v>166</v>
      </c>
      <c r="I200" s="14" t="s">
        <v>137</v>
      </c>
      <c r="J200" s="14" t="s">
        <v>146</v>
      </c>
      <c r="K200" s="15" t="n">
        <v>2.946</v>
      </c>
      <c r="L200" s="14" t="n">
        <v>2</v>
      </c>
      <c r="M200" s="16" t="n">
        <v>0.7</v>
      </c>
      <c r="N200" s="15" t="n">
        <v>-2.2586</v>
      </c>
      <c r="O200" s="17" t="str">
        <f aca="false">UPPER(LEFT(F200,3))&amp;"-"&amp;G200</f>
        <v>PEN-19120</v>
      </c>
      <c r="P200" s="17" t="str">
        <f aca="false">PROPER(TRIM(E200))</f>
        <v>Philadelphia</v>
      </c>
      <c r="Q200" s="17" t="str">
        <f aca="false">IFERROR(VLOOKUP(F200,Lookups!$A$2:$B$50,2,FALSE()),"Not found")</f>
        <v>East</v>
      </c>
      <c r="R200" s="17" t="str">
        <f aca="false">IF(Q200=H200,"Match","Mismatch")</f>
        <v>Match</v>
      </c>
      <c r="S200" s="17" t="str">
        <f aca="false">IFERROR(INDEX(SubCatCat,MATCH(J200,SubCatName,0)),"Not found")</f>
        <v>Office Supplies</v>
      </c>
      <c r="T200" s="18" t="n">
        <f aca="false">IF(K200=0,0,N200/K200)</f>
        <v>-0.766666666666667</v>
      </c>
      <c r="U200" s="17" t="str">
        <f aca="false">IF(N200&lt;0,"Loss",IF(T200&gt;=0.2,"High margin","Normal"))</f>
        <v>Loss</v>
      </c>
      <c r="V200" s="17" t="str">
        <f aca="false">IF(M200=0,"No discount",IF(M200&lt;=0.2,"Low",IF(M200&lt;=0.4,"Medium","High")))</f>
        <v>High</v>
      </c>
      <c r="W200" s="17" t="str">
        <f aca="false">IF(OR(B200="Same Day",B200="First Class"),"Fast","Standard")</f>
        <v>Standard</v>
      </c>
      <c r="X200" s="19" t="n">
        <f aca="false">ROUND(K200/L200,2)</f>
        <v>1.47</v>
      </c>
    </row>
    <row r="201" customFormat="false" ht="15" hidden="false" customHeight="false" outlineLevel="0" collapsed="false">
      <c r="A201" s="14" t="n">
        <v>200</v>
      </c>
      <c r="B201" s="14" t="s">
        <v>139</v>
      </c>
      <c r="C201" s="14" t="s">
        <v>135</v>
      </c>
      <c r="D201" s="14" t="s">
        <v>128</v>
      </c>
      <c r="E201" s="14" t="s">
        <v>164</v>
      </c>
      <c r="F201" s="14" t="s">
        <v>165</v>
      </c>
      <c r="G201" s="14" t="n">
        <v>19120</v>
      </c>
      <c r="H201" s="14" t="s">
        <v>166</v>
      </c>
      <c r="I201" s="14" t="s">
        <v>137</v>
      </c>
      <c r="J201" s="14" t="s">
        <v>150</v>
      </c>
      <c r="K201" s="15" t="n">
        <v>16.056</v>
      </c>
      <c r="L201" s="14" t="n">
        <v>3</v>
      </c>
      <c r="M201" s="16" t="n">
        <v>0.2</v>
      </c>
      <c r="N201" s="15" t="n">
        <v>5.8203</v>
      </c>
      <c r="O201" s="17" t="str">
        <f aca="false">UPPER(LEFT(F201,3))&amp;"-"&amp;G201</f>
        <v>PEN-19120</v>
      </c>
      <c r="P201" s="17" t="str">
        <f aca="false">PROPER(TRIM(E201))</f>
        <v>Philadelphia</v>
      </c>
      <c r="Q201" s="17" t="str">
        <f aca="false">IFERROR(VLOOKUP(F201,Lookups!$A$2:$B$50,2,FALSE()),"Not found")</f>
        <v>East</v>
      </c>
      <c r="R201" s="17" t="str">
        <f aca="false">IF(Q201=H201,"Match","Mismatch")</f>
        <v>Match</v>
      </c>
      <c r="S201" s="17" t="str">
        <f aca="false">IFERROR(INDEX(SubCatCat,MATCH(J201,SubCatName,0)),"Not found")</f>
        <v>Office Supplies</v>
      </c>
      <c r="T201" s="18" t="n">
        <f aca="false">IF(K201=0,0,N201/K201)</f>
        <v>0.3625</v>
      </c>
      <c r="U201" s="17" t="str">
        <f aca="false">IF(N201&lt;0,"Loss",IF(T201&gt;=0.2,"High margin","Normal"))</f>
        <v>High margin</v>
      </c>
      <c r="V201" s="17" t="str">
        <f aca="false">IF(M201=0,"No discount",IF(M201&lt;=0.2,"Low",IF(M201&lt;=0.4,"Medium","High")))</f>
        <v>Low</v>
      </c>
      <c r="W201" s="17" t="str">
        <f aca="false">IF(OR(B201="Same Day",B201="First Class"),"Fast","Standard")</f>
        <v>Standard</v>
      </c>
      <c r="X201" s="19" t="n">
        <f aca="false">ROUND(K201/L201,2)</f>
        <v>5.35</v>
      </c>
    </row>
    <row r="202" customFormat="false" ht="15" hidden="false" customHeight="false" outlineLevel="0" collapsed="false">
      <c r="A202" s="14" t="n">
        <v>201</v>
      </c>
      <c r="B202" s="14" t="s">
        <v>139</v>
      </c>
      <c r="C202" s="14" t="s">
        <v>7</v>
      </c>
      <c r="D202" s="14" t="s">
        <v>128</v>
      </c>
      <c r="E202" s="14" t="s">
        <v>242</v>
      </c>
      <c r="F202" s="14" t="s">
        <v>213</v>
      </c>
      <c r="G202" s="14" t="n">
        <v>44312</v>
      </c>
      <c r="H202" s="14" t="s">
        <v>166</v>
      </c>
      <c r="I202" s="14" t="s">
        <v>137</v>
      </c>
      <c r="J202" s="14" t="s">
        <v>150</v>
      </c>
      <c r="K202" s="15" t="n">
        <v>21.744</v>
      </c>
      <c r="L202" s="14" t="n">
        <v>3</v>
      </c>
      <c r="M202" s="16" t="n">
        <v>0.2</v>
      </c>
      <c r="N202" s="15" t="n">
        <v>6.795</v>
      </c>
      <c r="O202" s="17" t="str">
        <f aca="false">UPPER(LEFT(F202,3))&amp;"-"&amp;G202</f>
        <v>OHI-44312</v>
      </c>
      <c r="P202" s="17" t="str">
        <f aca="false">PROPER(TRIM(E202))</f>
        <v>Akron</v>
      </c>
      <c r="Q202" s="17" t="str">
        <f aca="false">IFERROR(VLOOKUP(F202,Lookups!$A$2:$B$50,2,FALSE()),"Not found")</f>
        <v>East</v>
      </c>
      <c r="R202" s="17" t="str">
        <f aca="false">IF(Q202=H202,"Match","Mismatch")</f>
        <v>Match</v>
      </c>
      <c r="S202" s="17" t="str">
        <f aca="false">IFERROR(INDEX(SubCatCat,MATCH(J202,SubCatName,0)),"Not found")</f>
        <v>Office Supplies</v>
      </c>
      <c r="T202" s="18" t="n">
        <f aca="false">IF(K202=0,0,N202/K202)</f>
        <v>0.3125</v>
      </c>
      <c r="U202" s="17" t="str">
        <f aca="false">IF(N202&lt;0,"Loss",IF(T202&gt;=0.2,"High margin","Normal"))</f>
        <v>High margin</v>
      </c>
      <c r="V202" s="17" t="str">
        <f aca="false">IF(M202=0,"No discount",IF(M202&lt;=0.2,"Low",IF(M202&lt;=0.4,"Medium","High")))</f>
        <v>Low</v>
      </c>
      <c r="W202" s="17" t="str">
        <f aca="false">IF(OR(B202="Same Day",B202="First Class"),"Fast","Standard")</f>
        <v>Standard</v>
      </c>
      <c r="X202" s="19" t="n">
        <f aca="false">ROUND(K202/L202,2)</f>
        <v>7.25</v>
      </c>
    </row>
    <row r="203" customFormat="false" ht="15" hidden="false" customHeight="false" outlineLevel="0" collapsed="false">
      <c r="A203" s="14" t="n">
        <v>202</v>
      </c>
      <c r="B203" s="14" t="s">
        <v>171</v>
      </c>
      <c r="C203" s="14" t="s">
        <v>7</v>
      </c>
      <c r="D203" s="14" t="s">
        <v>128</v>
      </c>
      <c r="E203" s="14" t="s">
        <v>243</v>
      </c>
      <c r="F203" s="14" t="s">
        <v>207</v>
      </c>
      <c r="G203" s="14" t="n">
        <v>80219</v>
      </c>
      <c r="H203" s="14" t="s">
        <v>3</v>
      </c>
      <c r="I203" s="14" t="s">
        <v>132</v>
      </c>
      <c r="J203" s="14" t="s">
        <v>142</v>
      </c>
      <c r="K203" s="15" t="n">
        <v>218.75</v>
      </c>
      <c r="L203" s="14" t="n">
        <v>2</v>
      </c>
      <c r="M203" s="16" t="n">
        <v>0.5</v>
      </c>
      <c r="N203" s="15" t="n">
        <v>-161.875</v>
      </c>
      <c r="O203" s="17" t="str">
        <f aca="false">UPPER(LEFT(F203,3))&amp;"-"&amp;G203</f>
        <v>COL-80219</v>
      </c>
      <c r="P203" s="17" t="str">
        <f aca="false">PROPER(TRIM(E203))</f>
        <v>Denver</v>
      </c>
      <c r="Q203" s="17" t="str">
        <f aca="false">IFERROR(VLOOKUP(F203,Lookups!$A$2:$B$50,2,FALSE()),"Not found")</f>
        <v>West</v>
      </c>
      <c r="R203" s="17" t="str">
        <f aca="false">IF(Q203=H203,"Match","Mismatch")</f>
        <v>Match</v>
      </c>
      <c r="S203" s="17" t="str">
        <f aca="false">IFERROR(INDEX(SubCatCat,MATCH(J203,SubCatName,0)),"Not found")</f>
        <v>Furniture</v>
      </c>
      <c r="T203" s="18" t="n">
        <f aca="false">IF(K203=0,0,N203/K203)</f>
        <v>-0.74</v>
      </c>
      <c r="U203" s="17" t="str">
        <f aca="false">IF(N203&lt;0,"Loss",IF(T203&gt;=0.2,"High margin","Normal"))</f>
        <v>Loss</v>
      </c>
      <c r="V203" s="17" t="str">
        <f aca="false">IF(M203=0,"No discount",IF(M203&lt;=0.2,"Low",IF(M203&lt;=0.4,"Medium","High")))</f>
        <v>High</v>
      </c>
      <c r="W203" s="17" t="str">
        <f aca="false">IF(OR(B203="Same Day",B203="First Class"),"Fast","Standard")</f>
        <v>Fast</v>
      </c>
      <c r="X203" s="19" t="n">
        <f aca="false">ROUND(K203/L203,2)</f>
        <v>109.38</v>
      </c>
    </row>
    <row r="204" customFormat="false" ht="15" hidden="false" customHeight="false" outlineLevel="0" collapsed="false">
      <c r="A204" s="14" t="n">
        <v>203</v>
      </c>
      <c r="B204" s="14" t="s">
        <v>171</v>
      </c>
      <c r="C204" s="14" t="s">
        <v>7</v>
      </c>
      <c r="D204" s="14" t="s">
        <v>128</v>
      </c>
      <c r="E204" s="14" t="s">
        <v>243</v>
      </c>
      <c r="F204" s="14" t="s">
        <v>207</v>
      </c>
      <c r="G204" s="14" t="n">
        <v>80219</v>
      </c>
      <c r="H204" s="14" t="s">
        <v>3</v>
      </c>
      <c r="I204" s="14" t="s">
        <v>137</v>
      </c>
      <c r="J204" s="14" t="s">
        <v>147</v>
      </c>
      <c r="K204" s="15" t="n">
        <v>2.6</v>
      </c>
      <c r="L204" s="14" t="n">
        <v>1</v>
      </c>
      <c r="M204" s="16" t="n">
        <v>0.2</v>
      </c>
      <c r="N204" s="15" t="n">
        <v>0.2925</v>
      </c>
      <c r="O204" s="17" t="str">
        <f aca="false">UPPER(LEFT(F204,3))&amp;"-"&amp;G204</f>
        <v>COL-80219</v>
      </c>
      <c r="P204" s="17" t="str">
        <f aca="false">PROPER(TRIM(E204))</f>
        <v>Denver</v>
      </c>
      <c r="Q204" s="17" t="str">
        <f aca="false">IFERROR(VLOOKUP(F204,Lookups!$A$2:$B$50,2,FALSE()),"Not found")</f>
        <v>West</v>
      </c>
      <c r="R204" s="17" t="str">
        <f aca="false">IF(Q204=H204,"Match","Mismatch")</f>
        <v>Match</v>
      </c>
      <c r="S204" s="17" t="str">
        <f aca="false">IFERROR(INDEX(SubCatCat,MATCH(J204,SubCatName,0)),"Not found")</f>
        <v>Office Supplies</v>
      </c>
      <c r="T204" s="18" t="n">
        <f aca="false">IF(K204=0,0,N204/K204)</f>
        <v>0.1125</v>
      </c>
      <c r="U204" s="17" t="str">
        <f aca="false">IF(N204&lt;0,"Loss",IF(T204&gt;=0.2,"High margin","Normal"))</f>
        <v>Normal</v>
      </c>
      <c r="V204" s="17" t="str">
        <f aca="false">IF(M204=0,"No discount",IF(M204&lt;=0.2,"Low",IF(M204&lt;=0.4,"Medium","High")))</f>
        <v>Low</v>
      </c>
      <c r="W204" s="17" t="str">
        <f aca="false">IF(OR(B204="Same Day",B204="First Class"),"Fast","Standard")</f>
        <v>Fast</v>
      </c>
      <c r="X204" s="19" t="n">
        <f aca="false">ROUND(K204/L204,2)</f>
        <v>2.6</v>
      </c>
    </row>
    <row r="205" customFormat="false" ht="15" hidden="false" customHeight="false" outlineLevel="0" collapsed="false">
      <c r="A205" s="14" t="n">
        <v>204</v>
      </c>
      <c r="B205" s="14" t="s">
        <v>127</v>
      </c>
      <c r="C205" s="14" t="s">
        <v>7</v>
      </c>
      <c r="D205" s="14" t="s">
        <v>128</v>
      </c>
      <c r="E205" s="14" t="s">
        <v>244</v>
      </c>
      <c r="F205" s="14" t="s">
        <v>155</v>
      </c>
      <c r="G205" s="14" t="n">
        <v>75220</v>
      </c>
      <c r="H205" s="14" t="s">
        <v>156</v>
      </c>
      <c r="I205" s="14" t="s">
        <v>137</v>
      </c>
      <c r="J205" s="14" t="s">
        <v>147</v>
      </c>
      <c r="K205" s="15" t="n">
        <v>66.284</v>
      </c>
      <c r="L205" s="14" t="n">
        <v>2</v>
      </c>
      <c r="M205" s="16" t="n">
        <v>0.8</v>
      </c>
      <c r="N205" s="15" t="n">
        <v>-178.9668</v>
      </c>
      <c r="O205" s="17" t="str">
        <f aca="false">UPPER(LEFT(F205,3))&amp;"-"&amp;G205</f>
        <v>TEX-75220</v>
      </c>
      <c r="P205" s="17" t="str">
        <f aca="false">PROPER(TRIM(E205))</f>
        <v>Dallas</v>
      </c>
      <c r="Q205" s="17" t="str">
        <f aca="false">IFERROR(VLOOKUP(F205,Lookups!$A$2:$B$50,2,FALSE()),"Not found")</f>
        <v>Central</v>
      </c>
      <c r="R205" s="17" t="str">
        <f aca="false">IF(Q205=H205,"Match","Mismatch")</f>
        <v>Match</v>
      </c>
      <c r="S205" s="17" t="str">
        <f aca="false">IFERROR(INDEX(SubCatCat,MATCH(J205,SubCatName,0)),"Not found")</f>
        <v>Office Supplies</v>
      </c>
      <c r="T205" s="18" t="n">
        <f aca="false">IF(K205=0,0,N205/K205)</f>
        <v>-2.7</v>
      </c>
      <c r="U205" s="17" t="str">
        <f aca="false">IF(N205&lt;0,"Loss",IF(T205&gt;=0.2,"High margin","Normal"))</f>
        <v>Loss</v>
      </c>
      <c r="V205" s="17" t="str">
        <f aca="false">IF(M205=0,"No discount",IF(M205&lt;=0.2,"Low",IF(M205&lt;=0.4,"Medium","High")))</f>
        <v>High</v>
      </c>
      <c r="W205" s="17" t="str">
        <f aca="false">IF(OR(B205="Same Day",B205="First Class"),"Fast","Standard")</f>
        <v>Standard</v>
      </c>
      <c r="X205" s="19" t="n">
        <f aca="false">ROUND(K205/L205,2)</f>
        <v>33.14</v>
      </c>
    </row>
    <row r="206" customFormat="false" ht="15" hidden="false" customHeight="false" outlineLevel="0" collapsed="false">
      <c r="A206" s="14" t="n">
        <v>205</v>
      </c>
      <c r="B206" s="14" t="s">
        <v>139</v>
      </c>
      <c r="C206" s="14" t="s">
        <v>135</v>
      </c>
      <c r="D206" s="14" t="s">
        <v>128</v>
      </c>
      <c r="E206" s="14" t="s">
        <v>224</v>
      </c>
      <c r="F206" s="14" t="s">
        <v>195</v>
      </c>
      <c r="G206" s="14" t="n">
        <v>37064</v>
      </c>
      <c r="H206" s="14" t="s">
        <v>131</v>
      </c>
      <c r="I206" s="14" t="s">
        <v>132</v>
      </c>
      <c r="J206" s="14" t="s">
        <v>144</v>
      </c>
      <c r="K206" s="15" t="n">
        <v>35.168</v>
      </c>
      <c r="L206" s="14" t="n">
        <v>7</v>
      </c>
      <c r="M206" s="16" t="n">
        <v>0.2</v>
      </c>
      <c r="N206" s="15" t="n">
        <v>9.6712</v>
      </c>
      <c r="O206" s="17" t="str">
        <f aca="false">UPPER(LEFT(F206,3))&amp;"-"&amp;G206</f>
        <v>TEN-37064</v>
      </c>
      <c r="P206" s="17" t="str">
        <f aca="false">PROPER(TRIM(E206))</f>
        <v>Franklin</v>
      </c>
      <c r="Q206" s="17" t="str">
        <f aca="false">IFERROR(VLOOKUP(F206,Lookups!$A$2:$B$50,2,FALSE()),"Not found")</f>
        <v>South</v>
      </c>
      <c r="R206" s="17" t="str">
        <f aca="false">IF(Q206=H206,"Match","Mismatch")</f>
        <v>Match</v>
      </c>
      <c r="S206" s="17" t="str">
        <f aca="false">IFERROR(INDEX(SubCatCat,MATCH(J206,SubCatName,0)),"Not found")</f>
        <v>Furniture</v>
      </c>
      <c r="T206" s="18" t="n">
        <f aca="false">IF(K206=0,0,N206/K206)</f>
        <v>0.275</v>
      </c>
      <c r="U206" s="17" t="str">
        <f aca="false">IF(N206&lt;0,"Loss",IF(T206&gt;=0.2,"High margin","Normal"))</f>
        <v>High margin</v>
      </c>
      <c r="V206" s="17" t="str">
        <f aca="false">IF(M206=0,"No discount",IF(M206&lt;=0.2,"Low",IF(M206&lt;=0.4,"Medium","High")))</f>
        <v>Low</v>
      </c>
      <c r="W206" s="17" t="str">
        <f aca="false">IF(OR(B206="Same Day",B206="First Class"),"Fast","Standard")</f>
        <v>Standard</v>
      </c>
      <c r="X206" s="19" t="n">
        <f aca="false">ROUND(K206/L206,2)</f>
        <v>5.02</v>
      </c>
    </row>
    <row r="207" customFormat="false" ht="15" hidden="false" customHeight="false" outlineLevel="0" collapsed="false">
      <c r="A207" s="14" t="n">
        <v>206</v>
      </c>
      <c r="B207" s="14" t="s">
        <v>139</v>
      </c>
      <c r="C207" s="14" t="s">
        <v>7</v>
      </c>
      <c r="D207" s="14" t="s">
        <v>128</v>
      </c>
      <c r="E207" s="14" t="s">
        <v>245</v>
      </c>
      <c r="F207" s="14" t="s">
        <v>9</v>
      </c>
      <c r="G207" s="14" t="n">
        <v>90604</v>
      </c>
      <c r="H207" s="14" t="s">
        <v>3</v>
      </c>
      <c r="I207" s="14" t="s">
        <v>5</v>
      </c>
      <c r="J207" s="14" t="s">
        <v>11</v>
      </c>
      <c r="K207" s="15" t="n">
        <v>444.768</v>
      </c>
      <c r="L207" s="14" t="n">
        <v>4</v>
      </c>
      <c r="M207" s="16" t="n">
        <v>0.2</v>
      </c>
      <c r="N207" s="15" t="n">
        <v>44.4768</v>
      </c>
      <c r="O207" s="17" t="str">
        <f aca="false">UPPER(LEFT(F207,3))&amp;"-"&amp;G207</f>
        <v>CAL-90604</v>
      </c>
      <c r="P207" s="17" t="str">
        <f aca="false">PROPER(TRIM(E207))</f>
        <v>Whittier</v>
      </c>
      <c r="Q207" s="17" t="str">
        <f aca="false">IFERROR(VLOOKUP(F207,Lookups!$A$2:$B$50,2,FALSE()),"Not found")</f>
        <v>West</v>
      </c>
      <c r="R207" s="17" t="str">
        <f aca="false">IF(Q207=H207,"Match","Mismatch")</f>
        <v>Match</v>
      </c>
      <c r="S207" s="17" t="str">
        <f aca="false">IFERROR(INDEX(SubCatCat,MATCH(J207,SubCatName,0)),"Not found")</f>
        <v>Technology</v>
      </c>
      <c r="T207" s="18" t="n">
        <f aca="false">IF(K207=0,0,N207/K207)</f>
        <v>0.1</v>
      </c>
      <c r="U207" s="17" t="str">
        <f aca="false">IF(N207&lt;0,"Loss",IF(T207&gt;=0.2,"High margin","Normal"))</f>
        <v>Normal</v>
      </c>
      <c r="V207" s="17" t="str">
        <f aca="false">IF(M207=0,"No discount",IF(M207&lt;=0.2,"Low",IF(M207&lt;=0.4,"Medium","High")))</f>
        <v>Low</v>
      </c>
      <c r="W207" s="17" t="str">
        <f aca="false">IF(OR(B207="Same Day",B207="First Class"),"Fast","Standard")</f>
        <v>Standard</v>
      </c>
      <c r="X207" s="19" t="n">
        <f aca="false">ROUND(K207/L207,2)</f>
        <v>111.19</v>
      </c>
    </row>
    <row r="208" customFormat="false" ht="15" hidden="false" customHeight="false" outlineLevel="0" collapsed="false">
      <c r="A208" s="14" t="n">
        <v>207</v>
      </c>
      <c r="B208" s="14" t="s">
        <v>139</v>
      </c>
      <c r="C208" s="14" t="s">
        <v>7</v>
      </c>
      <c r="D208" s="14" t="s">
        <v>128</v>
      </c>
      <c r="E208" s="14" t="s">
        <v>246</v>
      </c>
      <c r="F208" s="14" t="s">
        <v>179</v>
      </c>
      <c r="G208" s="14" t="n">
        <v>48601</v>
      </c>
      <c r="H208" s="14" t="s">
        <v>156</v>
      </c>
      <c r="I208" s="14" t="s">
        <v>137</v>
      </c>
      <c r="J208" s="14" t="s">
        <v>143</v>
      </c>
      <c r="K208" s="15" t="n">
        <v>83.92</v>
      </c>
      <c r="L208" s="14" t="n">
        <v>4</v>
      </c>
      <c r="M208" s="16" t="n">
        <v>0</v>
      </c>
      <c r="N208" s="15" t="n">
        <v>5.8744</v>
      </c>
      <c r="O208" s="17" t="str">
        <f aca="false">UPPER(LEFT(F208,3))&amp;"-"&amp;G208</f>
        <v>MIC-48601</v>
      </c>
      <c r="P208" s="17" t="str">
        <f aca="false">PROPER(TRIM(E208))</f>
        <v>Saginaw</v>
      </c>
      <c r="Q208" s="17" t="str">
        <f aca="false">IFERROR(VLOOKUP(F208,Lookups!$A$2:$B$50,2,FALSE()),"Not found")</f>
        <v>Central</v>
      </c>
      <c r="R208" s="17" t="str">
        <f aca="false">IF(Q208=H208,"Match","Mismatch")</f>
        <v>Match</v>
      </c>
      <c r="S208" s="17" t="str">
        <f aca="false">IFERROR(INDEX(SubCatCat,MATCH(J208,SubCatName,0)),"Not found")</f>
        <v>Office Supplies</v>
      </c>
      <c r="T208" s="18" t="n">
        <f aca="false">IF(K208=0,0,N208/K208)</f>
        <v>0.07</v>
      </c>
      <c r="U208" s="17" t="str">
        <f aca="false">IF(N208&lt;0,"Loss",IF(T208&gt;=0.2,"High margin","Normal"))</f>
        <v>Normal</v>
      </c>
      <c r="V208" s="17" t="str">
        <f aca="false">IF(M208=0,"No discount",IF(M208&lt;=0.2,"Low",IF(M208&lt;=0.4,"Medium","High")))</f>
        <v>No discount</v>
      </c>
      <c r="W208" s="17" t="str">
        <f aca="false">IF(OR(B208="Same Day",B208="First Class"),"Fast","Standard")</f>
        <v>Standard</v>
      </c>
      <c r="X208" s="19" t="n">
        <f aca="false">ROUND(K208/L208,2)</f>
        <v>20.98</v>
      </c>
    </row>
    <row r="209" customFormat="false" ht="15" hidden="false" customHeight="false" outlineLevel="0" collapsed="false">
      <c r="A209" s="14" t="n">
        <v>208</v>
      </c>
      <c r="B209" s="14" t="s">
        <v>139</v>
      </c>
      <c r="C209" s="14" t="s">
        <v>7</v>
      </c>
      <c r="D209" s="14" t="s">
        <v>128</v>
      </c>
      <c r="E209" s="14" t="s">
        <v>246</v>
      </c>
      <c r="F209" s="14" t="s">
        <v>179</v>
      </c>
      <c r="G209" s="14" t="n">
        <v>48601</v>
      </c>
      <c r="H209" s="14" t="s">
        <v>156</v>
      </c>
      <c r="I209" s="14" t="s">
        <v>5</v>
      </c>
      <c r="J209" s="14" t="s">
        <v>11</v>
      </c>
      <c r="K209" s="15" t="n">
        <v>131.98</v>
      </c>
      <c r="L209" s="14" t="n">
        <v>2</v>
      </c>
      <c r="M209" s="16" t="n">
        <v>0</v>
      </c>
      <c r="N209" s="15" t="n">
        <v>35.6346</v>
      </c>
      <c r="O209" s="17" t="str">
        <f aca="false">UPPER(LEFT(F209,3))&amp;"-"&amp;G209</f>
        <v>MIC-48601</v>
      </c>
      <c r="P209" s="17" t="str">
        <f aca="false">PROPER(TRIM(E209))</f>
        <v>Saginaw</v>
      </c>
      <c r="Q209" s="17" t="str">
        <f aca="false">IFERROR(VLOOKUP(F209,Lookups!$A$2:$B$50,2,FALSE()),"Not found")</f>
        <v>Central</v>
      </c>
      <c r="R209" s="17" t="str">
        <f aca="false">IF(Q209=H209,"Match","Mismatch")</f>
        <v>Match</v>
      </c>
      <c r="S209" s="17" t="str">
        <f aca="false">IFERROR(INDEX(SubCatCat,MATCH(J209,SubCatName,0)),"Not found")</f>
        <v>Technology</v>
      </c>
      <c r="T209" s="18" t="n">
        <f aca="false">IF(K209=0,0,N209/K209)</f>
        <v>0.27</v>
      </c>
      <c r="U209" s="17" t="str">
        <f aca="false">IF(N209&lt;0,"Loss",IF(T209&gt;=0.2,"High margin","Normal"))</f>
        <v>High margin</v>
      </c>
      <c r="V209" s="17" t="str">
        <f aca="false">IF(M209=0,"No discount",IF(M209&lt;=0.2,"Low",IF(M209&lt;=0.4,"Medium","High")))</f>
        <v>No discount</v>
      </c>
      <c r="W209" s="17" t="str">
        <f aca="false">IF(OR(B209="Same Day",B209="First Class"),"Fast","Standard")</f>
        <v>Standard</v>
      </c>
      <c r="X209" s="19" t="n">
        <f aca="false">ROUND(K209/L209,2)</f>
        <v>65.99</v>
      </c>
    </row>
    <row r="210" customFormat="false" ht="15" hidden="false" customHeight="false" outlineLevel="0" collapsed="false">
      <c r="A210" s="14" t="n">
        <v>209</v>
      </c>
      <c r="B210" s="14" t="s">
        <v>139</v>
      </c>
      <c r="C210" s="14" t="s">
        <v>7</v>
      </c>
      <c r="D210" s="14" t="s">
        <v>128</v>
      </c>
      <c r="E210" s="14" t="s">
        <v>246</v>
      </c>
      <c r="F210" s="14" t="s">
        <v>179</v>
      </c>
      <c r="G210" s="14" t="n">
        <v>48601</v>
      </c>
      <c r="H210" s="14" t="s">
        <v>156</v>
      </c>
      <c r="I210" s="14" t="s">
        <v>137</v>
      </c>
      <c r="J210" s="14" t="s">
        <v>146</v>
      </c>
      <c r="K210" s="15" t="n">
        <v>15.92</v>
      </c>
      <c r="L210" s="14" t="n">
        <v>4</v>
      </c>
      <c r="M210" s="16" t="n">
        <v>0</v>
      </c>
      <c r="N210" s="15" t="n">
        <v>7.4824</v>
      </c>
      <c r="O210" s="17" t="str">
        <f aca="false">UPPER(LEFT(F210,3))&amp;"-"&amp;G210</f>
        <v>MIC-48601</v>
      </c>
      <c r="P210" s="17" t="str">
        <f aca="false">PROPER(TRIM(E210))</f>
        <v>Saginaw</v>
      </c>
      <c r="Q210" s="17" t="str">
        <f aca="false">IFERROR(VLOOKUP(F210,Lookups!$A$2:$B$50,2,FALSE()),"Not found")</f>
        <v>Central</v>
      </c>
      <c r="R210" s="17" t="str">
        <f aca="false">IF(Q210=H210,"Match","Mismatch")</f>
        <v>Match</v>
      </c>
      <c r="S210" s="17" t="str">
        <f aca="false">IFERROR(INDEX(SubCatCat,MATCH(J210,SubCatName,0)),"Not found")</f>
        <v>Office Supplies</v>
      </c>
      <c r="T210" s="18" t="n">
        <f aca="false">IF(K210=0,0,N210/K210)</f>
        <v>0.47</v>
      </c>
      <c r="U210" s="17" t="str">
        <f aca="false">IF(N210&lt;0,"Loss",IF(T210&gt;=0.2,"High margin","Normal"))</f>
        <v>High margin</v>
      </c>
      <c r="V210" s="17" t="str">
        <f aca="false">IF(M210=0,"No discount",IF(M210&lt;=0.2,"Low",IF(M210&lt;=0.4,"Medium","High")))</f>
        <v>No discount</v>
      </c>
      <c r="W210" s="17" t="str">
        <f aca="false">IF(OR(B210="Same Day",B210="First Class"),"Fast","Standard")</f>
        <v>Standard</v>
      </c>
      <c r="X210" s="19" t="n">
        <f aca="false">ROUND(K210/L210,2)</f>
        <v>3.98</v>
      </c>
    </row>
    <row r="211" customFormat="false" ht="15" hidden="false" customHeight="false" outlineLevel="0" collapsed="false">
      <c r="A211" s="14" t="n">
        <v>210</v>
      </c>
      <c r="B211" s="14" t="s">
        <v>139</v>
      </c>
      <c r="C211" s="14" t="s">
        <v>7</v>
      </c>
      <c r="D211" s="14" t="s">
        <v>128</v>
      </c>
      <c r="E211" s="14" t="s">
        <v>246</v>
      </c>
      <c r="F211" s="14" t="s">
        <v>179</v>
      </c>
      <c r="G211" s="14" t="n">
        <v>48601</v>
      </c>
      <c r="H211" s="14" t="s">
        <v>156</v>
      </c>
      <c r="I211" s="14" t="s">
        <v>137</v>
      </c>
      <c r="J211" s="14" t="s">
        <v>186</v>
      </c>
      <c r="K211" s="15" t="n">
        <v>52.29</v>
      </c>
      <c r="L211" s="14" t="n">
        <v>9</v>
      </c>
      <c r="M211" s="16" t="n">
        <v>0</v>
      </c>
      <c r="N211" s="15" t="n">
        <v>16.2099</v>
      </c>
      <c r="O211" s="17" t="str">
        <f aca="false">UPPER(LEFT(F211,3))&amp;"-"&amp;G211</f>
        <v>MIC-48601</v>
      </c>
      <c r="P211" s="17" t="str">
        <f aca="false">PROPER(TRIM(E211))</f>
        <v>Saginaw</v>
      </c>
      <c r="Q211" s="17" t="str">
        <f aca="false">IFERROR(VLOOKUP(F211,Lookups!$A$2:$B$50,2,FALSE()),"Not found")</f>
        <v>Central</v>
      </c>
      <c r="R211" s="17" t="str">
        <f aca="false">IF(Q211=H211,"Match","Mismatch")</f>
        <v>Match</v>
      </c>
      <c r="S211" s="17" t="str">
        <f aca="false">IFERROR(INDEX(SubCatCat,MATCH(J211,SubCatName,0)),"Not found")</f>
        <v>Office Supplies</v>
      </c>
      <c r="T211" s="18" t="n">
        <f aca="false">IF(K211=0,0,N211/K211)</f>
        <v>0.31</v>
      </c>
      <c r="U211" s="17" t="str">
        <f aca="false">IF(N211&lt;0,"Loss",IF(T211&gt;=0.2,"High margin","Normal"))</f>
        <v>High margin</v>
      </c>
      <c r="V211" s="17" t="str">
        <f aca="false">IF(M211=0,"No discount",IF(M211&lt;=0.2,"Low",IF(M211&lt;=0.4,"Medium","High")))</f>
        <v>No discount</v>
      </c>
      <c r="W211" s="17" t="str">
        <f aca="false">IF(OR(B211="Same Day",B211="First Class"),"Fast","Standard")</f>
        <v>Standard</v>
      </c>
      <c r="X211" s="19" t="n">
        <f aca="false">ROUND(K211/L211,2)</f>
        <v>5.81</v>
      </c>
    </row>
    <row r="212" customFormat="false" ht="15" hidden="false" customHeight="false" outlineLevel="0" collapsed="false">
      <c r="A212" s="14" t="n">
        <v>211</v>
      </c>
      <c r="B212" s="14" t="s">
        <v>139</v>
      </c>
      <c r="C212" s="14" t="s">
        <v>7</v>
      </c>
      <c r="D212" s="14" t="s">
        <v>128</v>
      </c>
      <c r="E212" s="14" t="s">
        <v>246</v>
      </c>
      <c r="F212" s="14" t="s">
        <v>179</v>
      </c>
      <c r="G212" s="14" t="n">
        <v>48601</v>
      </c>
      <c r="H212" s="14" t="s">
        <v>156</v>
      </c>
      <c r="I212" s="14" t="s">
        <v>137</v>
      </c>
      <c r="J212" s="14" t="s">
        <v>143</v>
      </c>
      <c r="K212" s="15" t="n">
        <v>91.99</v>
      </c>
      <c r="L212" s="14" t="n">
        <v>1</v>
      </c>
      <c r="M212" s="16" t="n">
        <v>0</v>
      </c>
      <c r="N212" s="15" t="n">
        <v>3.6796</v>
      </c>
      <c r="O212" s="17" t="str">
        <f aca="false">UPPER(LEFT(F212,3))&amp;"-"&amp;G212</f>
        <v>MIC-48601</v>
      </c>
      <c r="P212" s="17" t="str">
        <f aca="false">PROPER(TRIM(E212))</f>
        <v>Saginaw</v>
      </c>
      <c r="Q212" s="17" t="str">
        <f aca="false">IFERROR(VLOOKUP(F212,Lookups!$A$2:$B$50,2,FALSE()),"Not found")</f>
        <v>Central</v>
      </c>
      <c r="R212" s="17" t="str">
        <f aca="false">IF(Q212=H212,"Match","Mismatch")</f>
        <v>Match</v>
      </c>
      <c r="S212" s="17" t="str">
        <f aca="false">IFERROR(INDEX(SubCatCat,MATCH(J212,SubCatName,0)),"Not found")</f>
        <v>Office Supplies</v>
      </c>
      <c r="T212" s="18" t="n">
        <f aca="false">IF(K212=0,0,N212/K212)</f>
        <v>0.04</v>
      </c>
      <c r="U212" s="17" t="str">
        <f aca="false">IF(N212&lt;0,"Loss",IF(T212&gt;=0.2,"High margin","Normal"))</f>
        <v>Normal</v>
      </c>
      <c r="V212" s="17" t="str">
        <f aca="false">IF(M212=0,"No discount",IF(M212&lt;=0.2,"Low",IF(M212&lt;=0.4,"Medium","High")))</f>
        <v>No discount</v>
      </c>
      <c r="W212" s="17" t="str">
        <f aca="false">IF(OR(B212="Same Day",B212="First Class"),"Fast","Standard")</f>
        <v>Standard</v>
      </c>
      <c r="X212" s="19" t="n">
        <f aca="false">ROUND(K212/L212,2)</f>
        <v>91.99</v>
      </c>
    </row>
    <row r="213" customFormat="false" ht="15" hidden="false" customHeight="false" outlineLevel="0" collapsed="false">
      <c r="A213" s="14" t="n">
        <v>212</v>
      </c>
      <c r="B213" s="14" t="s">
        <v>127</v>
      </c>
      <c r="C213" s="14" t="s">
        <v>135</v>
      </c>
      <c r="D213" s="14" t="s">
        <v>128</v>
      </c>
      <c r="E213" s="14" t="s">
        <v>244</v>
      </c>
      <c r="F213" s="14" t="s">
        <v>155</v>
      </c>
      <c r="G213" s="14" t="n">
        <v>75220</v>
      </c>
      <c r="H213" s="14" t="s">
        <v>156</v>
      </c>
      <c r="I213" s="14" t="s">
        <v>5</v>
      </c>
      <c r="J213" s="14" t="s">
        <v>168</v>
      </c>
      <c r="K213" s="15" t="n">
        <v>20.8</v>
      </c>
      <c r="L213" s="14" t="n">
        <v>2</v>
      </c>
      <c r="M213" s="16" t="n">
        <v>0.2</v>
      </c>
      <c r="N213" s="15" t="n">
        <v>6.5</v>
      </c>
      <c r="O213" s="17" t="str">
        <f aca="false">UPPER(LEFT(F213,3))&amp;"-"&amp;G213</f>
        <v>TEX-75220</v>
      </c>
      <c r="P213" s="17" t="str">
        <f aca="false">PROPER(TRIM(E213))</f>
        <v>Dallas</v>
      </c>
      <c r="Q213" s="17" t="str">
        <f aca="false">IFERROR(VLOOKUP(F213,Lookups!$A$2:$B$50,2,FALSE()),"Not found")</f>
        <v>Central</v>
      </c>
      <c r="R213" s="17" t="str">
        <f aca="false">IF(Q213=H213,"Match","Mismatch")</f>
        <v>Match</v>
      </c>
      <c r="S213" s="17" t="str">
        <f aca="false">IFERROR(INDEX(SubCatCat,MATCH(J213,SubCatName,0)),"Not found")</f>
        <v>Technology</v>
      </c>
      <c r="T213" s="18" t="n">
        <f aca="false">IF(K213=0,0,N213/K213)</f>
        <v>0.3125</v>
      </c>
      <c r="U213" s="17" t="str">
        <f aca="false">IF(N213&lt;0,"Loss",IF(T213&gt;=0.2,"High margin","Normal"))</f>
        <v>High margin</v>
      </c>
      <c r="V213" s="17" t="str">
        <f aca="false">IF(M213=0,"No discount",IF(M213&lt;=0.2,"Low",IF(M213&lt;=0.4,"Medium","High")))</f>
        <v>Low</v>
      </c>
      <c r="W213" s="17" t="str">
        <f aca="false">IF(OR(B213="Same Day",B213="First Class"),"Fast","Standard")</f>
        <v>Standard</v>
      </c>
      <c r="X213" s="19" t="n">
        <f aca="false">ROUND(K213/L213,2)</f>
        <v>10.4</v>
      </c>
    </row>
    <row r="214" customFormat="false" ht="15" hidden="false" customHeight="false" outlineLevel="0" collapsed="false">
      <c r="A214" s="14" t="n">
        <v>213</v>
      </c>
      <c r="B214" s="14" t="s">
        <v>139</v>
      </c>
      <c r="C214" s="14" t="s">
        <v>135</v>
      </c>
      <c r="D214" s="14" t="s">
        <v>128</v>
      </c>
      <c r="E214" s="14" t="s">
        <v>247</v>
      </c>
      <c r="F214" s="14" t="s">
        <v>213</v>
      </c>
      <c r="G214" s="14" t="n">
        <v>44256</v>
      </c>
      <c r="H214" s="14" t="s">
        <v>166</v>
      </c>
      <c r="I214" s="14" t="s">
        <v>137</v>
      </c>
      <c r="J214" s="14" t="s">
        <v>138</v>
      </c>
      <c r="K214" s="15" t="n">
        <v>23.68</v>
      </c>
      <c r="L214" s="14" t="n">
        <v>2</v>
      </c>
      <c r="M214" s="16" t="n">
        <v>0.2</v>
      </c>
      <c r="N214" s="15" t="n">
        <v>8.88</v>
      </c>
      <c r="O214" s="17" t="str">
        <f aca="false">UPPER(LEFT(F214,3))&amp;"-"&amp;G214</f>
        <v>OHI-44256</v>
      </c>
      <c r="P214" s="17" t="str">
        <f aca="false">PROPER(TRIM(E214))</f>
        <v>Medina</v>
      </c>
      <c r="Q214" s="17" t="str">
        <f aca="false">IFERROR(VLOOKUP(F214,Lookups!$A$2:$B$50,2,FALSE()),"Not found")</f>
        <v>East</v>
      </c>
      <c r="R214" s="17" t="str">
        <f aca="false">IF(Q214=H214,"Match","Mismatch")</f>
        <v>Match</v>
      </c>
      <c r="S214" s="17" t="str">
        <f aca="false">IFERROR(INDEX(SubCatCat,MATCH(J214,SubCatName,0)),"Not found")</f>
        <v>Office Supplies</v>
      </c>
      <c r="T214" s="18" t="n">
        <f aca="false">IF(K214=0,0,N214/K214)</f>
        <v>0.375</v>
      </c>
      <c r="U214" s="17" t="str">
        <f aca="false">IF(N214&lt;0,"Loss",IF(T214&gt;=0.2,"High margin","Normal"))</f>
        <v>High margin</v>
      </c>
      <c r="V214" s="17" t="str">
        <f aca="false">IF(M214=0,"No discount",IF(M214&lt;=0.2,"Low",IF(M214&lt;=0.4,"Medium","High")))</f>
        <v>Low</v>
      </c>
      <c r="W214" s="17" t="str">
        <f aca="false">IF(OR(B214="Same Day",B214="First Class"),"Fast","Standard")</f>
        <v>Standard</v>
      </c>
      <c r="X214" s="19" t="n">
        <f aca="false">ROUND(K214/L214,2)</f>
        <v>11.84</v>
      </c>
    </row>
    <row r="215" customFormat="false" ht="15" hidden="false" customHeight="false" outlineLevel="0" collapsed="false">
      <c r="A215" s="14" t="n">
        <v>214</v>
      </c>
      <c r="B215" s="14" t="s">
        <v>139</v>
      </c>
      <c r="C215" s="14" t="s">
        <v>135</v>
      </c>
      <c r="D215" s="14" t="s">
        <v>128</v>
      </c>
      <c r="E215" s="14" t="s">
        <v>247</v>
      </c>
      <c r="F215" s="14" t="s">
        <v>213</v>
      </c>
      <c r="G215" s="14" t="n">
        <v>44256</v>
      </c>
      <c r="H215" s="14" t="s">
        <v>166</v>
      </c>
      <c r="I215" s="14" t="s">
        <v>132</v>
      </c>
      <c r="J215" s="14" t="s">
        <v>133</v>
      </c>
      <c r="K215" s="15" t="n">
        <v>452.45</v>
      </c>
      <c r="L215" s="14" t="n">
        <v>5</v>
      </c>
      <c r="M215" s="16" t="n">
        <v>0.5</v>
      </c>
      <c r="N215" s="15" t="n">
        <v>-244.323</v>
      </c>
      <c r="O215" s="17" t="str">
        <f aca="false">UPPER(LEFT(F215,3))&amp;"-"&amp;G215</f>
        <v>OHI-44256</v>
      </c>
      <c r="P215" s="17" t="str">
        <f aca="false">PROPER(TRIM(E215))</f>
        <v>Medina</v>
      </c>
      <c r="Q215" s="17" t="str">
        <f aca="false">IFERROR(VLOOKUP(F215,Lookups!$A$2:$B$50,2,FALSE()),"Not found")</f>
        <v>East</v>
      </c>
      <c r="R215" s="17" t="str">
        <f aca="false">IF(Q215=H215,"Match","Mismatch")</f>
        <v>Match</v>
      </c>
      <c r="S215" s="17" t="str">
        <f aca="false">IFERROR(INDEX(SubCatCat,MATCH(J215,SubCatName,0)),"Not found")</f>
        <v>Furniture</v>
      </c>
      <c r="T215" s="18" t="n">
        <f aca="false">IF(K215=0,0,N215/K215)</f>
        <v>-0.54</v>
      </c>
      <c r="U215" s="17" t="str">
        <f aca="false">IF(N215&lt;0,"Loss",IF(T215&gt;=0.2,"High margin","Normal"))</f>
        <v>Loss</v>
      </c>
      <c r="V215" s="17" t="str">
        <f aca="false">IF(M215=0,"No discount",IF(M215&lt;=0.2,"Low",IF(M215&lt;=0.4,"Medium","High")))</f>
        <v>High</v>
      </c>
      <c r="W215" s="17" t="str">
        <f aca="false">IF(OR(B215="Same Day",B215="First Class"),"Fast","Standard")</f>
        <v>Standard</v>
      </c>
      <c r="X215" s="19" t="n">
        <f aca="false">ROUND(K215/L215,2)</f>
        <v>90.49</v>
      </c>
    </row>
    <row r="216" customFormat="false" ht="15" hidden="false" customHeight="false" outlineLevel="0" collapsed="false">
      <c r="A216" s="14" t="n">
        <v>215</v>
      </c>
      <c r="B216" s="14" t="s">
        <v>139</v>
      </c>
      <c r="C216" s="14" t="s">
        <v>135</v>
      </c>
      <c r="D216" s="14" t="s">
        <v>128</v>
      </c>
      <c r="E216" s="14" t="s">
        <v>247</v>
      </c>
      <c r="F216" s="14" t="s">
        <v>213</v>
      </c>
      <c r="G216" s="14" t="n">
        <v>44256</v>
      </c>
      <c r="H216" s="14" t="s">
        <v>166</v>
      </c>
      <c r="I216" s="14" t="s">
        <v>5</v>
      </c>
      <c r="J216" s="14" t="s">
        <v>11</v>
      </c>
      <c r="K216" s="15" t="n">
        <v>62.982</v>
      </c>
      <c r="L216" s="14" t="n">
        <v>3</v>
      </c>
      <c r="M216" s="16" t="n">
        <v>0.4</v>
      </c>
      <c r="N216" s="15" t="n">
        <v>-14.6958</v>
      </c>
      <c r="O216" s="17" t="str">
        <f aca="false">UPPER(LEFT(F216,3))&amp;"-"&amp;G216</f>
        <v>OHI-44256</v>
      </c>
      <c r="P216" s="17" t="str">
        <f aca="false">PROPER(TRIM(E216))</f>
        <v>Medina</v>
      </c>
      <c r="Q216" s="17" t="str">
        <f aca="false">IFERROR(VLOOKUP(F216,Lookups!$A$2:$B$50,2,FALSE()),"Not found")</f>
        <v>East</v>
      </c>
      <c r="R216" s="17" t="str">
        <f aca="false">IF(Q216=H216,"Match","Mismatch")</f>
        <v>Match</v>
      </c>
      <c r="S216" s="17" t="str">
        <f aca="false">IFERROR(INDEX(SubCatCat,MATCH(J216,SubCatName,0)),"Not found")</f>
        <v>Technology</v>
      </c>
      <c r="T216" s="18" t="n">
        <f aca="false">IF(K216=0,0,N216/K216)</f>
        <v>-0.233333333333333</v>
      </c>
      <c r="U216" s="17" t="str">
        <f aca="false">IF(N216&lt;0,"Loss",IF(T216&gt;=0.2,"High margin","Normal"))</f>
        <v>Loss</v>
      </c>
      <c r="V216" s="17" t="str">
        <f aca="false">IF(M216=0,"No discount",IF(M216&lt;=0.2,"Low",IF(M216&lt;=0.4,"Medium","High")))</f>
        <v>Medium</v>
      </c>
      <c r="W216" s="17" t="str">
        <f aca="false">IF(OR(B216="Same Day",B216="First Class"),"Fast","Standard")</f>
        <v>Standard</v>
      </c>
      <c r="X216" s="19" t="n">
        <f aca="false">ROUND(K216/L216,2)</f>
        <v>20.99</v>
      </c>
    </row>
    <row r="217" customFormat="false" ht="15" hidden="false" customHeight="false" outlineLevel="0" collapsed="false">
      <c r="A217" s="14" t="n">
        <v>216</v>
      </c>
      <c r="B217" s="14" t="s">
        <v>139</v>
      </c>
      <c r="C217" s="14" t="s">
        <v>135</v>
      </c>
      <c r="D217" s="14" t="s">
        <v>128</v>
      </c>
      <c r="E217" s="14" t="s">
        <v>247</v>
      </c>
      <c r="F217" s="14" t="s">
        <v>213</v>
      </c>
      <c r="G217" s="14" t="n">
        <v>44256</v>
      </c>
      <c r="H217" s="14" t="s">
        <v>166</v>
      </c>
      <c r="I217" s="14" t="s">
        <v>5</v>
      </c>
      <c r="J217" s="14" t="s">
        <v>232</v>
      </c>
      <c r="K217" s="15" t="n">
        <v>1188</v>
      </c>
      <c r="L217" s="14" t="n">
        <v>9</v>
      </c>
      <c r="M217" s="16" t="n">
        <v>0.7</v>
      </c>
      <c r="N217" s="15" t="n">
        <v>-950.4</v>
      </c>
      <c r="O217" s="17" t="str">
        <f aca="false">UPPER(LEFT(F217,3))&amp;"-"&amp;G217</f>
        <v>OHI-44256</v>
      </c>
      <c r="P217" s="17" t="str">
        <f aca="false">PROPER(TRIM(E217))</f>
        <v>Medina</v>
      </c>
      <c r="Q217" s="17" t="str">
        <f aca="false">IFERROR(VLOOKUP(F217,Lookups!$A$2:$B$50,2,FALSE()),"Not found")</f>
        <v>East</v>
      </c>
      <c r="R217" s="17" t="str">
        <f aca="false">IF(Q217=H217,"Match","Mismatch")</f>
        <v>Match</v>
      </c>
      <c r="S217" s="17" t="str">
        <f aca="false">IFERROR(INDEX(SubCatCat,MATCH(J217,SubCatName,0)),"Not found")</f>
        <v>Technology</v>
      </c>
      <c r="T217" s="18" t="n">
        <f aca="false">IF(K217=0,0,N217/K217)</f>
        <v>-0.8</v>
      </c>
      <c r="U217" s="17" t="str">
        <f aca="false">IF(N217&lt;0,"Loss",IF(T217&gt;=0.2,"High margin","Normal"))</f>
        <v>Loss</v>
      </c>
      <c r="V217" s="17" t="str">
        <f aca="false">IF(M217=0,"No discount",IF(M217&lt;=0.2,"Low",IF(M217&lt;=0.4,"Medium","High")))</f>
        <v>High</v>
      </c>
      <c r="W217" s="17" t="str">
        <f aca="false">IF(OR(B217="Same Day",B217="First Class"),"Fast","Standard")</f>
        <v>Standard</v>
      </c>
      <c r="X217" s="19" t="n">
        <f aca="false">ROUND(K217/L217,2)</f>
        <v>132</v>
      </c>
    </row>
    <row r="218" customFormat="false" ht="15" hidden="false" customHeight="false" outlineLevel="0" collapsed="false">
      <c r="A218" s="14" t="n">
        <v>217</v>
      </c>
      <c r="B218" s="14" t="s">
        <v>139</v>
      </c>
      <c r="C218" s="14" t="s">
        <v>135</v>
      </c>
      <c r="D218" s="14" t="s">
        <v>128</v>
      </c>
      <c r="E218" s="14" t="s">
        <v>247</v>
      </c>
      <c r="F218" s="14" t="s">
        <v>213</v>
      </c>
      <c r="G218" s="14" t="n">
        <v>44256</v>
      </c>
      <c r="H218" s="14" t="s">
        <v>166</v>
      </c>
      <c r="I218" s="14" t="s">
        <v>5</v>
      </c>
      <c r="J218" s="14" t="s">
        <v>168</v>
      </c>
      <c r="K218" s="15" t="n">
        <v>89.584</v>
      </c>
      <c r="L218" s="14" t="n">
        <v>2</v>
      </c>
      <c r="M218" s="16" t="n">
        <v>0.2</v>
      </c>
      <c r="N218" s="15" t="n">
        <v>4.4792</v>
      </c>
      <c r="O218" s="17" t="str">
        <f aca="false">UPPER(LEFT(F218,3))&amp;"-"&amp;G218</f>
        <v>OHI-44256</v>
      </c>
      <c r="P218" s="17" t="str">
        <f aca="false">PROPER(TRIM(E218))</f>
        <v>Medina</v>
      </c>
      <c r="Q218" s="17" t="str">
        <f aca="false">IFERROR(VLOOKUP(F218,Lookups!$A$2:$B$50,2,FALSE()),"Not found")</f>
        <v>East</v>
      </c>
      <c r="R218" s="17" t="str">
        <f aca="false">IF(Q218=H218,"Match","Mismatch")</f>
        <v>Match</v>
      </c>
      <c r="S218" s="17" t="str">
        <f aca="false">IFERROR(INDEX(SubCatCat,MATCH(J218,SubCatName,0)),"Not found")</f>
        <v>Technology</v>
      </c>
      <c r="T218" s="18" t="n">
        <f aca="false">IF(K218=0,0,N218/K218)</f>
        <v>0.05</v>
      </c>
      <c r="U218" s="17" t="str">
        <f aca="false">IF(N218&lt;0,"Loss",IF(T218&gt;=0.2,"High margin","Normal"))</f>
        <v>Normal</v>
      </c>
      <c r="V218" s="17" t="str">
        <f aca="false">IF(M218=0,"No discount",IF(M218&lt;=0.2,"Low",IF(M218&lt;=0.4,"Medium","High")))</f>
        <v>Low</v>
      </c>
      <c r="W218" s="17" t="str">
        <f aca="false">IF(OR(B218="Same Day",B218="First Class"),"Fast","Standard")</f>
        <v>Standard</v>
      </c>
      <c r="X218" s="19" t="n">
        <f aca="false">ROUND(K218/L218,2)</f>
        <v>44.79</v>
      </c>
    </row>
    <row r="219" customFormat="false" ht="15" hidden="false" customHeight="false" outlineLevel="0" collapsed="false">
      <c r="A219" s="14" t="n">
        <v>218</v>
      </c>
      <c r="B219" s="14" t="s">
        <v>139</v>
      </c>
      <c r="C219" s="14" t="s">
        <v>7</v>
      </c>
      <c r="D219" s="14" t="s">
        <v>128</v>
      </c>
      <c r="E219" s="14" t="s">
        <v>136</v>
      </c>
      <c r="F219" s="14" t="s">
        <v>9</v>
      </c>
      <c r="G219" s="14" t="n">
        <v>90032</v>
      </c>
      <c r="H219" s="14" t="s">
        <v>3</v>
      </c>
      <c r="I219" s="14" t="s">
        <v>137</v>
      </c>
      <c r="J219" s="14" t="s">
        <v>143</v>
      </c>
      <c r="K219" s="15" t="n">
        <v>93.06</v>
      </c>
      <c r="L219" s="14" t="n">
        <v>6</v>
      </c>
      <c r="M219" s="16" t="n">
        <v>0</v>
      </c>
      <c r="N219" s="15" t="n">
        <v>26.0568</v>
      </c>
      <c r="O219" s="17" t="str">
        <f aca="false">UPPER(LEFT(F219,3))&amp;"-"&amp;G219</f>
        <v>CAL-90032</v>
      </c>
      <c r="P219" s="17" t="str">
        <f aca="false">PROPER(TRIM(E219))</f>
        <v>Los Angeles</v>
      </c>
      <c r="Q219" s="17" t="str">
        <f aca="false">IFERROR(VLOOKUP(F219,Lookups!$A$2:$B$50,2,FALSE()),"Not found")</f>
        <v>West</v>
      </c>
      <c r="R219" s="17" t="str">
        <f aca="false">IF(Q219=H219,"Match","Mismatch")</f>
        <v>Match</v>
      </c>
      <c r="S219" s="17" t="str">
        <f aca="false">IFERROR(INDEX(SubCatCat,MATCH(J219,SubCatName,0)),"Not found")</f>
        <v>Office Supplies</v>
      </c>
      <c r="T219" s="18" t="n">
        <f aca="false">IF(K219=0,0,N219/K219)</f>
        <v>0.28</v>
      </c>
      <c r="U219" s="17" t="str">
        <f aca="false">IF(N219&lt;0,"Loss",IF(T219&gt;=0.2,"High margin","Normal"))</f>
        <v>High margin</v>
      </c>
      <c r="V219" s="17" t="str">
        <f aca="false">IF(M219=0,"No discount",IF(M219&lt;=0.2,"Low",IF(M219&lt;=0.4,"Medium","High")))</f>
        <v>No discount</v>
      </c>
      <c r="W219" s="17" t="str">
        <f aca="false">IF(OR(B219="Same Day",B219="First Class"),"Fast","Standard")</f>
        <v>Standard</v>
      </c>
      <c r="X219" s="19" t="n">
        <f aca="false">ROUND(K219/L219,2)</f>
        <v>15.51</v>
      </c>
    </row>
    <row r="220" customFormat="false" ht="15" hidden="false" customHeight="false" outlineLevel="0" collapsed="false">
      <c r="A220" s="14" t="n">
        <v>219</v>
      </c>
      <c r="B220" s="14" t="s">
        <v>139</v>
      </c>
      <c r="C220" s="14" t="s">
        <v>7</v>
      </c>
      <c r="D220" s="14" t="s">
        <v>128</v>
      </c>
      <c r="E220" s="14" t="s">
        <v>136</v>
      </c>
      <c r="F220" s="14" t="s">
        <v>9</v>
      </c>
      <c r="G220" s="14" t="n">
        <v>90032</v>
      </c>
      <c r="H220" s="14" t="s">
        <v>3</v>
      </c>
      <c r="I220" s="14" t="s">
        <v>5</v>
      </c>
      <c r="J220" s="14" t="s">
        <v>11</v>
      </c>
      <c r="K220" s="15" t="n">
        <v>302.376</v>
      </c>
      <c r="L220" s="14" t="n">
        <v>3</v>
      </c>
      <c r="M220" s="16" t="n">
        <v>0.2</v>
      </c>
      <c r="N220" s="15" t="n">
        <v>22.6782</v>
      </c>
      <c r="O220" s="17" t="str">
        <f aca="false">UPPER(LEFT(F220,3))&amp;"-"&amp;G220</f>
        <v>CAL-90032</v>
      </c>
      <c r="P220" s="17" t="str">
        <f aca="false">PROPER(TRIM(E220))</f>
        <v>Los Angeles</v>
      </c>
      <c r="Q220" s="17" t="str">
        <f aca="false">IFERROR(VLOOKUP(F220,Lookups!$A$2:$B$50,2,FALSE()),"Not found")</f>
        <v>West</v>
      </c>
      <c r="R220" s="17" t="str">
        <f aca="false">IF(Q220=H220,"Match","Mismatch")</f>
        <v>Match</v>
      </c>
      <c r="S220" s="17" t="str">
        <f aca="false">IFERROR(INDEX(SubCatCat,MATCH(J220,SubCatName,0)),"Not found")</f>
        <v>Technology</v>
      </c>
      <c r="T220" s="18" t="n">
        <f aca="false">IF(K220=0,0,N220/K220)</f>
        <v>0.075</v>
      </c>
      <c r="U220" s="17" t="str">
        <f aca="false">IF(N220&lt;0,"Loss",IF(T220&gt;=0.2,"High margin","Normal"))</f>
        <v>Normal</v>
      </c>
      <c r="V220" s="17" t="str">
        <f aca="false">IF(M220=0,"No discount",IF(M220&lt;=0.2,"Low",IF(M220&lt;=0.4,"Medium","High")))</f>
        <v>Low</v>
      </c>
      <c r="W220" s="17" t="str">
        <f aca="false">IF(OR(B220="Same Day",B220="First Class"),"Fast","Standard")</f>
        <v>Standard</v>
      </c>
      <c r="X220" s="19" t="n">
        <f aca="false">ROUND(K220/L220,2)</f>
        <v>100.79</v>
      </c>
    </row>
    <row r="221" customFormat="false" ht="15" hidden="false" customHeight="false" outlineLevel="0" collapsed="false">
      <c r="A221" s="14" t="n">
        <v>220</v>
      </c>
      <c r="B221" s="14" t="s">
        <v>171</v>
      </c>
      <c r="C221" s="14" t="s">
        <v>7</v>
      </c>
      <c r="D221" s="14" t="s">
        <v>128</v>
      </c>
      <c r="E221" s="14" t="s">
        <v>248</v>
      </c>
      <c r="F221" s="14" t="s">
        <v>213</v>
      </c>
      <c r="G221" s="14" t="n">
        <v>43017</v>
      </c>
      <c r="H221" s="14" t="s">
        <v>166</v>
      </c>
      <c r="I221" s="14" t="s">
        <v>137</v>
      </c>
      <c r="J221" s="14" t="s">
        <v>186</v>
      </c>
      <c r="K221" s="15" t="n">
        <v>5.584</v>
      </c>
      <c r="L221" s="14" t="n">
        <v>2</v>
      </c>
      <c r="M221" s="16" t="n">
        <v>0.2</v>
      </c>
      <c r="N221" s="15" t="n">
        <v>1.8148</v>
      </c>
      <c r="O221" s="17" t="str">
        <f aca="false">UPPER(LEFT(F221,3))&amp;"-"&amp;G221</f>
        <v>OHI-43017</v>
      </c>
      <c r="P221" s="17" t="str">
        <f aca="false">PROPER(TRIM(E221))</f>
        <v>Dublin</v>
      </c>
      <c r="Q221" s="17" t="str">
        <f aca="false">IFERROR(VLOOKUP(F221,Lookups!$A$2:$B$50,2,FALSE()),"Not found")</f>
        <v>East</v>
      </c>
      <c r="R221" s="17" t="str">
        <f aca="false">IF(Q221=H221,"Match","Mismatch")</f>
        <v>Match</v>
      </c>
      <c r="S221" s="17" t="str">
        <f aca="false">IFERROR(INDEX(SubCatCat,MATCH(J221,SubCatName,0)),"Not found")</f>
        <v>Office Supplies</v>
      </c>
      <c r="T221" s="18" t="n">
        <f aca="false">IF(K221=0,0,N221/K221)</f>
        <v>0.325</v>
      </c>
      <c r="U221" s="17" t="str">
        <f aca="false">IF(N221&lt;0,"Loss",IF(T221&gt;=0.2,"High margin","Normal"))</f>
        <v>High margin</v>
      </c>
      <c r="V221" s="17" t="str">
        <f aca="false">IF(M221=0,"No discount",IF(M221&lt;=0.2,"Low",IF(M221&lt;=0.4,"Medium","High")))</f>
        <v>Low</v>
      </c>
      <c r="W221" s="17" t="str">
        <f aca="false">IF(OR(B221="Same Day",B221="First Class"),"Fast","Standard")</f>
        <v>Fast</v>
      </c>
      <c r="X221" s="19" t="n">
        <f aca="false">ROUND(K221/L221,2)</f>
        <v>2.79</v>
      </c>
    </row>
    <row r="222" customFormat="false" ht="15" hidden="false" customHeight="false" outlineLevel="0" collapsed="false">
      <c r="A222" s="14" t="n">
        <v>221</v>
      </c>
      <c r="B222" s="14" t="s">
        <v>171</v>
      </c>
      <c r="C222" s="14" t="s">
        <v>7</v>
      </c>
      <c r="D222" s="14" t="s">
        <v>128</v>
      </c>
      <c r="E222" s="14" t="s">
        <v>248</v>
      </c>
      <c r="F222" s="14" t="s">
        <v>213</v>
      </c>
      <c r="G222" s="14" t="n">
        <v>43017</v>
      </c>
      <c r="H222" s="14" t="s">
        <v>166</v>
      </c>
      <c r="I222" s="14" t="s">
        <v>137</v>
      </c>
      <c r="J222" s="14" t="s">
        <v>150</v>
      </c>
      <c r="K222" s="15" t="n">
        <v>22.704</v>
      </c>
      <c r="L222" s="14" t="n">
        <v>6</v>
      </c>
      <c r="M222" s="16" t="n">
        <v>0.2</v>
      </c>
      <c r="N222" s="15" t="n">
        <v>8.2302</v>
      </c>
      <c r="O222" s="17" t="str">
        <f aca="false">UPPER(LEFT(F222,3))&amp;"-"&amp;G222</f>
        <v>OHI-43017</v>
      </c>
      <c r="P222" s="17" t="str">
        <f aca="false">PROPER(TRIM(E222))</f>
        <v>Dublin</v>
      </c>
      <c r="Q222" s="17" t="str">
        <f aca="false">IFERROR(VLOOKUP(F222,Lookups!$A$2:$B$50,2,FALSE()),"Not found")</f>
        <v>East</v>
      </c>
      <c r="R222" s="17" t="str">
        <f aca="false">IF(Q222=H222,"Match","Mismatch")</f>
        <v>Match</v>
      </c>
      <c r="S222" s="17" t="str">
        <f aca="false">IFERROR(INDEX(SubCatCat,MATCH(J222,SubCatName,0)),"Not found")</f>
        <v>Office Supplies</v>
      </c>
      <c r="T222" s="18" t="n">
        <f aca="false">IF(K222=0,0,N222/K222)</f>
        <v>0.3625</v>
      </c>
      <c r="U222" s="17" t="str">
        <f aca="false">IF(N222&lt;0,"Loss",IF(T222&gt;=0.2,"High margin","Normal"))</f>
        <v>High margin</v>
      </c>
      <c r="V222" s="17" t="str">
        <f aca="false">IF(M222=0,"No discount",IF(M222&lt;=0.2,"Low",IF(M222&lt;=0.4,"Medium","High")))</f>
        <v>Low</v>
      </c>
      <c r="W222" s="17" t="str">
        <f aca="false">IF(OR(B222="Same Day",B222="First Class"),"Fast","Standard")</f>
        <v>Fast</v>
      </c>
      <c r="X222" s="19" t="n">
        <f aca="false">ROUND(K222/L222,2)</f>
        <v>3.78</v>
      </c>
    </row>
    <row r="223" customFormat="false" ht="15" hidden="false" customHeight="false" outlineLevel="0" collapsed="false">
      <c r="A223" s="14" t="n">
        <v>222</v>
      </c>
      <c r="B223" s="14" t="s">
        <v>171</v>
      </c>
      <c r="C223" s="14" t="s">
        <v>7</v>
      </c>
      <c r="D223" s="14" t="s">
        <v>128</v>
      </c>
      <c r="E223" s="14" t="s">
        <v>248</v>
      </c>
      <c r="F223" s="14" t="s">
        <v>213</v>
      </c>
      <c r="G223" s="14" t="n">
        <v>43017</v>
      </c>
      <c r="H223" s="14" t="s">
        <v>166</v>
      </c>
      <c r="I223" s="14" t="s">
        <v>137</v>
      </c>
      <c r="J223" s="14" t="s">
        <v>146</v>
      </c>
      <c r="K223" s="15" t="n">
        <v>19.776</v>
      </c>
      <c r="L223" s="14" t="n">
        <v>4</v>
      </c>
      <c r="M223" s="16" t="n">
        <v>0.7</v>
      </c>
      <c r="N223" s="15" t="n">
        <v>-13.8432</v>
      </c>
      <c r="O223" s="17" t="str">
        <f aca="false">UPPER(LEFT(F223,3))&amp;"-"&amp;G223</f>
        <v>OHI-43017</v>
      </c>
      <c r="P223" s="17" t="str">
        <f aca="false">PROPER(TRIM(E223))</f>
        <v>Dublin</v>
      </c>
      <c r="Q223" s="17" t="str">
        <f aca="false">IFERROR(VLOOKUP(F223,Lookups!$A$2:$B$50,2,FALSE()),"Not found")</f>
        <v>East</v>
      </c>
      <c r="R223" s="17" t="str">
        <f aca="false">IF(Q223=H223,"Match","Mismatch")</f>
        <v>Match</v>
      </c>
      <c r="S223" s="17" t="str">
        <f aca="false">IFERROR(INDEX(SubCatCat,MATCH(J223,SubCatName,0)),"Not found")</f>
        <v>Office Supplies</v>
      </c>
      <c r="T223" s="18" t="n">
        <f aca="false">IF(K223=0,0,N223/K223)</f>
        <v>-0.7</v>
      </c>
      <c r="U223" s="17" t="str">
        <f aca="false">IF(N223&lt;0,"Loss",IF(T223&gt;=0.2,"High margin","Normal"))</f>
        <v>Loss</v>
      </c>
      <c r="V223" s="17" t="str">
        <f aca="false">IF(M223=0,"No discount",IF(M223&lt;=0.2,"Low",IF(M223&lt;=0.4,"Medium","High")))</f>
        <v>High</v>
      </c>
      <c r="W223" s="17" t="str">
        <f aca="false">IF(OR(B223="Same Day",B223="First Class"),"Fast","Standard")</f>
        <v>Fast</v>
      </c>
      <c r="X223" s="19" t="n">
        <f aca="false">ROUND(K223/L223,2)</f>
        <v>4.94</v>
      </c>
    </row>
    <row r="224" customFormat="false" ht="15" hidden="false" customHeight="false" outlineLevel="0" collapsed="false">
      <c r="A224" s="14" t="n">
        <v>223</v>
      </c>
      <c r="B224" s="14" t="s">
        <v>171</v>
      </c>
      <c r="C224" s="14" t="s">
        <v>7</v>
      </c>
      <c r="D224" s="14" t="s">
        <v>128</v>
      </c>
      <c r="E224" s="14" t="s">
        <v>248</v>
      </c>
      <c r="F224" s="14" t="s">
        <v>213</v>
      </c>
      <c r="G224" s="14" t="n">
        <v>43017</v>
      </c>
      <c r="H224" s="14" t="s">
        <v>166</v>
      </c>
      <c r="I224" s="14" t="s">
        <v>132</v>
      </c>
      <c r="J224" s="14" t="s">
        <v>144</v>
      </c>
      <c r="K224" s="15" t="n">
        <v>72.704</v>
      </c>
      <c r="L224" s="14" t="n">
        <v>4</v>
      </c>
      <c r="M224" s="16" t="n">
        <v>0.2</v>
      </c>
      <c r="N224" s="15" t="n">
        <v>19.0848</v>
      </c>
      <c r="O224" s="17" t="str">
        <f aca="false">UPPER(LEFT(F224,3))&amp;"-"&amp;G224</f>
        <v>OHI-43017</v>
      </c>
      <c r="P224" s="17" t="str">
        <f aca="false">PROPER(TRIM(E224))</f>
        <v>Dublin</v>
      </c>
      <c r="Q224" s="17" t="str">
        <f aca="false">IFERROR(VLOOKUP(F224,Lookups!$A$2:$B$50,2,FALSE()),"Not found")</f>
        <v>East</v>
      </c>
      <c r="R224" s="17" t="str">
        <f aca="false">IF(Q224=H224,"Match","Mismatch")</f>
        <v>Match</v>
      </c>
      <c r="S224" s="17" t="str">
        <f aca="false">IFERROR(INDEX(SubCatCat,MATCH(J224,SubCatName,0)),"Not found")</f>
        <v>Furniture</v>
      </c>
      <c r="T224" s="18" t="n">
        <f aca="false">IF(K224=0,0,N224/K224)</f>
        <v>0.2625</v>
      </c>
      <c r="U224" s="17" t="str">
        <f aca="false">IF(N224&lt;0,"Loss",IF(T224&gt;=0.2,"High margin","Normal"))</f>
        <v>High margin</v>
      </c>
      <c r="V224" s="17" t="str">
        <f aca="false">IF(M224=0,"No discount",IF(M224&lt;=0.2,"Low",IF(M224&lt;=0.4,"Medium","High")))</f>
        <v>Low</v>
      </c>
      <c r="W224" s="17" t="str">
        <f aca="false">IF(OR(B224="Same Day",B224="First Class"),"Fast","Standard")</f>
        <v>Fast</v>
      </c>
      <c r="X224" s="19" t="n">
        <f aca="false">ROUND(K224/L224,2)</f>
        <v>18.18</v>
      </c>
    </row>
    <row r="225" customFormat="false" ht="15" hidden="false" customHeight="false" outlineLevel="0" collapsed="false">
      <c r="A225" s="14" t="n">
        <v>224</v>
      </c>
      <c r="B225" s="14" t="s">
        <v>171</v>
      </c>
      <c r="C225" s="14" t="s">
        <v>7</v>
      </c>
      <c r="D225" s="14" t="s">
        <v>128</v>
      </c>
      <c r="E225" s="14" t="s">
        <v>248</v>
      </c>
      <c r="F225" s="14" t="s">
        <v>213</v>
      </c>
      <c r="G225" s="14" t="n">
        <v>43017</v>
      </c>
      <c r="H225" s="14" t="s">
        <v>166</v>
      </c>
      <c r="I225" s="14" t="s">
        <v>5</v>
      </c>
      <c r="J225" s="14" t="s">
        <v>232</v>
      </c>
      <c r="K225" s="15" t="n">
        <v>479.988</v>
      </c>
      <c r="L225" s="14" t="n">
        <v>4</v>
      </c>
      <c r="M225" s="16" t="n">
        <v>0.7</v>
      </c>
      <c r="N225" s="15" t="n">
        <v>-383.9904</v>
      </c>
      <c r="O225" s="17" t="str">
        <f aca="false">UPPER(LEFT(F225,3))&amp;"-"&amp;G225</f>
        <v>OHI-43017</v>
      </c>
      <c r="P225" s="17" t="str">
        <f aca="false">PROPER(TRIM(E225))</f>
        <v>Dublin</v>
      </c>
      <c r="Q225" s="17" t="str">
        <f aca="false">IFERROR(VLOOKUP(F225,Lookups!$A$2:$B$50,2,FALSE()),"Not found")</f>
        <v>East</v>
      </c>
      <c r="R225" s="17" t="str">
        <f aca="false">IF(Q225=H225,"Match","Mismatch")</f>
        <v>Match</v>
      </c>
      <c r="S225" s="17" t="str">
        <f aca="false">IFERROR(INDEX(SubCatCat,MATCH(J225,SubCatName,0)),"Not found")</f>
        <v>Technology</v>
      </c>
      <c r="T225" s="18" t="n">
        <f aca="false">IF(K225=0,0,N225/K225)</f>
        <v>-0.8</v>
      </c>
      <c r="U225" s="17" t="str">
        <f aca="false">IF(N225&lt;0,"Loss",IF(T225&gt;=0.2,"High margin","Normal"))</f>
        <v>Loss</v>
      </c>
      <c r="V225" s="17" t="str">
        <f aca="false">IF(M225=0,"No discount",IF(M225&lt;=0.2,"Low",IF(M225&lt;=0.4,"Medium","High")))</f>
        <v>High</v>
      </c>
      <c r="W225" s="17" t="str">
        <f aca="false">IF(OR(B225="Same Day",B225="First Class"),"Fast","Standard")</f>
        <v>Fast</v>
      </c>
      <c r="X225" s="19" t="n">
        <f aca="false">ROUND(K225/L225,2)</f>
        <v>120</v>
      </c>
    </row>
    <row r="226" customFormat="false" ht="15" hidden="false" customHeight="false" outlineLevel="0" collapsed="false">
      <c r="A226" s="14" t="n">
        <v>225</v>
      </c>
      <c r="B226" s="14" t="s">
        <v>171</v>
      </c>
      <c r="C226" s="14" t="s">
        <v>7</v>
      </c>
      <c r="D226" s="14" t="s">
        <v>128</v>
      </c>
      <c r="E226" s="14" t="s">
        <v>248</v>
      </c>
      <c r="F226" s="14" t="s">
        <v>213</v>
      </c>
      <c r="G226" s="14" t="n">
        <v>43017</v>
      </c>
      <c r="H226" s="14" t="s">
        <v>166</v>
      </c>
      <c r="I226" s="14" t="s">
        <v>137</v>
      </c>
      <c r="J226" s="14" t="s">
        <v>145</v>
      </c>
      <c r="K226" s="15" t="n">
        <v>27.168</v>
      </c>
      <c r="L226" s="14" t="n">
        <v>2</v>
      </c>
      <c r="M226" s="16" t="n">
        <v>0.2</v>
      </c>
      <c r="N226" s="15" t="n">
        <v>2.7168</v>
      </c>
      <c r="O226" s="17" t="str">
        <f aca="false">UPPER(LEFT(F226,3))&amp;"-"&amp;G226</f>
        <v>OHI-43017</v>
      </c>
      <c r="P226" s="17" t="str">
        <f aca="false">PROPER(TRIM(E226))</f>
        <v>Dublin</v>
      </c>
      <c r="Q226" s="17" t="str">
        <f aca="false">IFERROR(VLOOKUP(F226,Lookups!$A$2:$B$50,2,FALSE()),"Not found")</f>
        <v>East</v>
      </c>
      <c r="R226" s="17" t="str">
        <f aca="false">IF(Q226=H226,"Match","Mismatch")</f>
        <v>Match</v>
      </c>
      <c r="S226" s="17" t="str">
        <f aca="false">IFERROR(INDEX(SubCatCat,MATCH(J226,SubCatName,0)),"Not found")</f>
        <v>Office Supplies</v>
      </c>
      <c r="T226" s="18" t="n">
        <f aca="false">IF(K226=0,0,N226/K226)</f>
        <v>0.1</v>
      </c>
      <c r="U226" s="17" t="str">
        <f aca="false">IF(N226&lt;0,"Loss",IF(T226&gt;=0.2,"High margin","Normal"))</f>
        <v>Normal</v>
      </c>
      <c r="V226" s="17" t="str">
        <f aca="false">IF(M226=0,"No discount",IF(M226&lt;=0.2,"Low",IF(M226&lt;=0.4,"Medium","High")))</f>
        <v>Low</v>
      </c>
      <c r="W226" s="17" t="str">
        <f aca="false">IF(OR(B226="Same Day",B226="First Class"),"Fast","Standard")</f>
        <v>Fast</v>
      </c>
      <c r="X226" s="19" t="n">
        <f aca="false">ROUND(K226/L226,2)</f>
        <v>13.58</v>
      </c>
    </row>
    <row r="227" customFormat="false" ht="15" hidden="false" customHeight="false" outlineLevel="0" collapsed="false">
      <c r="A227" s="14" t="n">
        <v>226</v>
      </c>
      <c r="B227" s="14" t="s">
        <v>139</v>
      </c>
      <c r="C227" s="14" t="s">
        <v>135</v>
      </c>
      <c r="D227" s="14" t="s">
        <v>128</v>
      </c>
      <c r="E227" s="14" t="s">
        <v>249</v>
      </c>
      <c r="F227" s="14" t="s">
        <v>179</v>
      </c>
      <c r="G227" s="14" t="n">
        <v>48227</v>
      </c>
      <c r="H227" s="14" t="s">
        <v>156</v>
      </c>
      <c r="I227" s="14" t="s">
        <v>137</v>
      </c>
      <c r="J227" s="14" t="s">
        <v>145</v>
      </c>
      <c r="K227" s="15" t="n">
        <v>2.2</v>
      </c>
      <c r="L227" s="14" t="n">
        <v>1</v>
      </c>
      <c r="M227" s="16" t="n">
        <v>0</v>
      </c>
      <c r="N227" s="15" t="n">
        <v>0.968</v>
      </c>
      <c r="O227" s="17" t="str">
        <f aca="false">UPPER(LEFT(F227,3))&amp;"-"&amp;G227</f>
        <v>MIC-48227</v>
      </c>
      <c r="P227" s="17" t="str">
        <f aca="false">PROPER(TRIM(E227))</f>
        <v>Detroit</v>
      </c>
      <c r="Q227" s="17" t="str">
        <f aca="false">IFERROR(VLOOKUP(F227,Lookups!$A$2:$B$50,2,FALSE()),"Not found")</f>
        <v>Central</v>
      </c>
      <c r="R227" s="17" t="str">
        <f aca="false">IF(Q227=H227,"Match","Mismatch")</f>
        <v>Match</v>
      </c>
      <c r="S227" s="17" t="str">
        <f aca="false">IFERROR(INDEX(SubCatCat,MATCH(J227,SubCatName,0)),"Not found")</f>
        <v>Office Supplies</v>
      </c>
      <c r="T227" s="18" t="n">
        <f aca="false">IF(K227=0,0,N227/K227)</f>
        <v>0.44</v>
      </c>
      <c r="U227" s="17" t="str">
        <f aca="false">IF(N227&lt;0,"Loss",IF(T227&gt;=0.2,"High margin","Normal"))</f>
        <v>High margin</v>
      </c>
      <c r="V227" s="17" t="str">
        <f aca="false">IF(M227=0,"No discount",IF(M227&lt;=0.2,"Low",IF(M227&lt;=0.4,"Medium","High")))</f>
        <v>No discount</v>
      </c>
      <c r="W227" s="17" t="str">
        <f aca="false">IF(OR(B227="Same Day",B227="First Class"),"Fast","Standard")</f>
        <v>Standard</v>
      </c>
      <c r="X227" s="19" t="n">
        <f aca="false">ROUND(K227/L227,2)</f>
        <v>2.2</v>
      </c>
    </row>
    <row r="228" customFormat="false" ht="15" hidden="false" customHeight="false" outlineLevel="0" collapsed="false">
      <c r="A228" s="14" t="n">
        <v>227</v>
      </c>
      <c r="B228" s="14" t="s">
        <v>139</v>
      </c>
      <c r="C228" s="14" t="s">
        <v>135</v>
      </c>
      <c r="D228" s="14" t="s">
        <v>128</v>
      </c>
      <c r="E228" s="14" t="s">
        <v>249</v>
      </c>
      <c r="F228" s="14" t="s">
        <v>179</v>
      </c>
      <c r="G228" s="14" t="n">
        <v>48227</v>
      </c>
      <c r="H228" s="14" t="s">
        <v>156</v>
      </c>
      <c r="I228" s="14" t="s">
        <v>132</v>
      </c>
      <c r="J228" s="14" t="s">
        <v>142</v>
      </c>
      <c r="K228" s="15" t="n">
        <v>622.45</v>
      </c>
      <c r="L228" s="14" t="n">
        <v>5</v>
      </c>
      <c r="M228" s="16" t="n">
        <v>0</v>
      </c>
      <c r="N228" s="15" t="n">
        <v>136.939</v>
      </c>
      <c r="O228" s="17" t="str">
        <f aca="false">UPPER(LEFT(F228,3))&amp;"-"&amp;G228</f>
        <v>MIC-48227</v>
      </c>
      <c r="P228" s="17" t="str">
        <f aca="false">PROPER(TRIM(E228))</f>
        <v>Detroit</v>
      </c>
      <c r="Q228" s="17" t="str">
        <f aca="false">IFERROR(VLOOKUP(F228,Lookups!$A$2:$B$50,2,FALSE()),"Not found")</f>
        <v>Central</v>
      </c>
      <c r="R228" s="17" t="str">
        <f aca="false">IF(Q228=H228,"Match","Mismatch")</f>
        <v>Match</v>
      </c>
      <c r="S228" s="17" t="str">
        <f aca="false">IFERROR(INDEX(SubCatCat,MATCH(J228,SubCatName,0)),"Not found")</f>
        <v>Furniture</v>
      </c>
      <c r="T228" s="18" t="n">
        <f aca="false">IF(K228=0,0,N228/K228)</f>
        <v>0.22</v>
      </c>
      <c r="U228" s="17" t="str">
        <f aca="false">IF(N228&lt;0,"Loss",IF(T228&gt;=0.2,"High margin","Normal"))</f>
        <v>High margin</v>
      </c>
      <c r="V228" s="17" t="str">
        <f aca="false">IF(M228=0,"No discount",IF(M228&lt;=0.2,"Low",IF(M228&lt;=0.4,"Medium","High")))</f>
        <v>No discount</v>
      </c>
      <c r="W228" s="17" t="str">
        <f aca="false">IF(OR(B228="Same Day",B228="First Class"),"Fast","Standard")</f>
        <v>Standard</v>
      </c>
      <c r="X228" s="19" t="n">
        <f aca="false">ROUND(K228/L228,2)</f>
        <v>124.49</v>
      </c>
    </row>
    <row r="229" customFormat="false" ht="15" hidden="false" customHeight="false" outlineLevel="0" collapsed="false">
      <c r="A229" s="14" t="n">
        <v>228</v>
      </c>
      <c r="B229" s="14" t="s">
        <v>139</v>
      </c>
      <c r="C229" s="14" t="s">
        <v>135</v>
      </c>
      <c r="D229" s="14" t="s">
        <v>128</v>
      </c>
      <c r="E229" s="14" t="s">
        <v>249</v>
      </c>
      <c r="F229" s="14" t="s">
        <v>179</v>
      </c>
      <c r="G229" s="14" t="n">
        <v>48227</v>
      </c>
      <c r="H229" s="14" t="s">
        <v>156</v>
      </c>
      <c r="I229" s="14" t="s">
        <v>137</v>
      </c>
      <c r="J229" s="14" t="s">
        <v>143</v>
      </c>
      <c r="K229" s="15" t="n">
        <v>21.98</v>
      </c>
      <c r="L229" s="14" t="n">
        <v>1</v>
      </c>
      <c r="M229" s="16" t="n">
        <v>0</v>
      </c>
      <c r="N229" s="15" t="n">
        <v>0.2198</v>
      </c>
      <c r="O229" s="17" t="str">
        <f aca="false">UPPER(LEFT(F229,3))&amp;"-"&amp;G229</f>
        <v>MIC-48227</v>
      </c>
      <c r="P229" s="17" t="str">
        <f aca="false">PROPER(TRIM(E229))</f>
        <v>Detroit</v>
      </c>
      <c r="Q229" s="17" t="str">
        <f aca="false">IFERROR(VLOOKUP(F229,Lookups!$A$2:$B$50,2,FALSE()),"Not found")</f>
        <v>Central</v>
      </c>
      <c r="R229" s="17" t="str">
        <f aca="false">IF(Q229=H229,"Match","Mismatch")</f>
        <v>Match</v>
      </c>
      <c r="S229" s="17" t="str">
        <f aca="false">IFERROR(INDEX(SubCatCat,MATCH(J229,SubCatName,0)),"Not found")</f>
        <v>Office Supplies</v>
      </c>
      <c r="T229" s="18" t="n">
        <f aca="false">IF(K229=0,0,N229/K229)</f>
        <v>0.01</v>
      </c>
      <c r="U229" s="17" t="str">
        <f aca="false">IF(N229&lt;0,"Loss",IF(T229&gt;=0.2,"High margin","Normal"))</f>
        <v>Normal</v>
      </c>
      <c r="V229" s="17" t="str">
        <f aca="false">IF(M229=0,"No discount",IF(M229&lt;=0.2,"Low",IF(M229&lt;=0.4,"Medium","High")))</f>
        <v>No discount</v>
      </c>
      <c r="W229" s="17" t="str">
        <f aca="false">IF(OR(B229="Same Day",B229="First Class"),"Fast","Standard")</f>
        <v>Standard</v>
      </c>
      <c r="X229" s="19" t="n">
        <f aca="false">ROUND(K229/L229,2)</f>
        <v>21.98</v>
      </c>
    </row>
    <row r="230" customFormat="false" ht="15" hidden="false" customHeight="false" outlineLevel="0" collapsed="false">
      <c r="A230" s="14" t="n">
        <v>229</v>
      </c>
      <c r="B230" s="14" t="s">
        <v>139</v>
      </c>
      <c r="C230" s="14" t="s">
        <v>7</v>
      </c>
      <c r="D230" s="14" t="s">
        <v>128</v>
      </c>
      <c r="E230" s="14" t="s">
        <v>199</v>
      </c>
      <c r="F230" s="14" t="s">
        <v>195</v>
      </c>
      <c r="G230" s="14" t="n">
        <v>38401</v>
      </c>
      <c r="H230" s="14" t="s">
        <v>131</v>
      </c>
      <c r="I230" s="14" t="s">
        <v>132</v>
      </c>
      <c r="J230" s="14" t="s">
        <v>134</v>
      </c>
      <c r="K230" s="15" t="n">
        <v>161.568</v>
      </c>
      <c r="L230" s="14" t="n">
        <v>2</v>
      </c>
      <c r="M230" s="16" t="n">
        <v>0.2</v>
      </c>
      <c r="N230" s="15" t="n">
        <v>-28.2744</v>
      </c>
      <c r="O230" s="17" t="str">
        <f aca="false">UPPER(LEFT(F230,3))&amp;"-"&amp;G230</f>
        <v>TEN-38401</v>
      </c>
      <c r="P230" s="17" t="str">
        <f aca="false">PROPER(TRIM(E230))</f>
        <v>Columbia</v>
      </c>
      <c r="Q230" s="17" t="str">
        <f aca="false">IFERROR(VLOOKUP(F230,Lookups!$A$2:$B$50,2,FALSE()),"Not found")</f>
        <v>South</v>
      </c>
      <c r="R230" s="17" t="str">
        <f aca="false">IF(Q230=H230,"Match","Mismatch")</f>
        <v>Match</v>
      </c>
      <c r="S230" s="17" t="str">
        <f aca="false">IFERROR(INDEX(SubCatCat,MATCH(J230,SubCatName,0)),"Not found")</f>
        <v>Furniture</v>
      </c>
      <c r="T230" s="18" t="n">
        <f aca="false">IF(K230=0,0,N230/K230)</f>
        <v>-0.175</v>
      </c>
      <c r="U230" s="17" t="str">
        <f aca="false">IF(N230&lt;0,"Loss",IF(T230&gt;=0.2,"High margin","Normal"))</f>
        <v>Loss</v>
      </c>
      <c r="V230" s="17" t="str">
        <f aca="false">IF(M230=0,"No discount",IF(M230&lt;=0.2,"Low",IF(M230&lt;=0.4,"Medium","High")))</f>
        <v>Low</v>
      </c>
      <c r="W230" s="17" t="str">
        <f aca="false">IF(OR(B230="Same Day",B230="First Class"),"Fast","Standard")</f>
        <v>Standard</v>
      </c>
      <c r="X230" s="19" t="n">
        <f aca="false">ROUND(K230/L230,2)</f>
        <v>80.78</v>
      </c>
    </row>
    <row r="231" customFormat="false" ht="15" hidden="false" customHeight="false" outlineLevel="0" collapsed="false">
      <c r="A231" s="14" t="n">
        <v>230</v>
      </c>
      <c r="B231" s="14" t="s">
        <v>139</v>
      </c>
      <c r="C231" s="14" t="s">
        <v>7</v>
      </c>
      <c r="D231" s="14" t="s">
        <v>128</v>
      </c>
      <c r="E231" s="14" t="s">
        <v>199</v>
      </c>
      <c r="F231" s="14" t="s">
        <v>195</v>
      </c>
      <c r="G231" s="14" t="n">
        <v>38401</v>
      </c>
      <c r="H231" s="14" t="s">
        <v>131</v>
      </c>
      <c r="I231" s="14" t="s">
        <v>132</v>
      </c>
      <c r="J231" s="14" t="s">
        <v>134</v>
      </c>
      <c r="K231" s="15" t="n">
        <v>389.696</v>
      </c>
      <c r="L231" s="14" t="n">
        <v>8</v>
      </c>
      <c r="M231" s="16" t="n">
        <v>0.2</v>
      </c>
      <c r="N231" s="15" t="n">
        <v>43.8408</v>
      </c>
      <c r="O231" s="17" t="str">
        <f aca="false">UPPER(LEFT(F231,3))&amp;"-"&amp;G231</f>
        <v>TEN-38401</v>
      </c>
      <c r="P231" s="17" t="str">
        <f aca="false">PROPER(TRIM(E231))</f>
        <v>Columbia</v>
      </c>
      <c r="Q231" s="17" t="str">
        <f aca="false">IFERROR(VLOOKUP(F231,Lookups!$A$2:$B$50,2,FALSE()),"Not found")</f>
        <v>South</v>
      </c>
      <c r="R231" s="17" t="str">
        <f aca="false">IF(Q231=H231,"Match","Mismatch")</f>
        <v>Match</v>
      </c>
      <c r="S231" s="17" t="str">
        <f aca="false">IFERROR(INDEX(SubCatCat,MATCH(J231,SubCatName,0)),"Not found")</f>
        <v>Furniture</v>
      </c>
      <c r="T231" s="18" t="n">
        <f aca="false">IF(K231=0,0,N231/K231)</f>
        <v>0.1125</v>
      </c>
      <c r="U231" s="17" t="str">
        <f aca="false">IF(N231&lt;0,"Loss",IF(T231&gt;=0.2,"High margin","Normal"))</f>
        <v>Normal</v>
      </c>
      <c r="V231" s="17" t="str">
        <f aca="false">IF(M231=0,"No discount",IF(M231&lt;=0.2,"Low",IF(M231&lt;=0.4,"Medium","High")))</f>
        <v>Low</v>
      </c>
      <c r="W231" s="17" t="str">
        <f aca="false">IF(OR(B231="Same Day",B231="First Class"),"Fast","Standard")</f>
        <v>Standard</v>
      </c>
      <c r="X231" s="19" t="n">
        <f aca="false">ROUND(K231/L231,2)</f>
        <v>48.71</v>
      </c>
    </row>
    <row r="232" customFormat="false" ht="15" hidden="false" customHeight="false" outlineLevel="0" collapsed="false">
      <c r="A232" s="14" t="n">
        <v>231</v>
      </c>
      <c r="B232" s="14" t="s">
        <v>139</v>
      </c>
      <c r="C232" s="14" t="s">
        <v>135</v>
      </c>
      <c r="D232" s="14" t="s">
        <v>128</v>
      </c>
      <c r="E232" s="14" t="s">
        <v>208</v>
      </c>
      <c r="F232" s="14" t="s">
        <v>149</v>
      </c>
      <c r="G232" s="14" t="n">
        <v>28205</v>
      </c>
      <c r="H232" s="14" t="s">
        <v>131</v>
      </c>
      <c r="I232" s="14" t="s">
        <v>137</v>
      </c>
      <c r="J232" s="14" t="s">
        <v>146</v>
      </c>
      <c r="K232" s="15" t="n">
        <v>18.648</v>
      </c>
      <c r="L232" s="14" t="n">
        <v>7</v>
      </c>
      <c r="M232" s="16" t="n">
        <v>0.7</v>
      </c>
      <c r="N232" s="15" t="n">
        <v>-12.432</v>
      </c>
      <c r="O232" s="17" t="str">
        <f aca="false">UPPER(LEFT(F232,3))&amp;"-"&amp;G232</f>
        <v>NOR-28205</v>
      </c>
      <c r="P232" s="17" t="str">
        <f aca="false">PROPER(TRIM(E232))</f>
        <v>Charlotte</v>
      </c>
      <c r="Q232" s="17" t="str">
        <f aca="false">IFERROR(VLOOKUP(F232,Lookups!$A$2:$B$50,2,FALSE()),"Not found")</f>
        <v>South</v>
      </c>
      <c r="R232" s="17" t="str">
        <f aca="false">IF(Q232=H232,"Match","Mismatch")</f>
        <v>Match</v>
      </c>
      <c r="S232" s="17" t="str">
        <f aca="false">IFERROR(INDEX(SubCatCat,MATCH(J232,SubCatName,0)),"Not found")</f>
        <v>Office Supplies</v>
      </c>
      <c r="T232" s="18" t="n">
        <f aca="false">IF(K232=0,0,N232/K232)</f>
        <v>-0.666666666666667</v>
      </c>
      <c r="U232" s="17" t="str">
        <f aca="false">IF(N232&lt;0,"Loss",IF(T232&gt;=0.2,"High margin","Normal"))</f>
        <v>Loss</v>
      </c>
      <c r="V232" s="17" t="str">
        <f aca="false">IF(M232=0,"No discount",IF(M232&lt;=0.2,"Low",IF(M232&lt;=0.4,"Medium","High")))</f>
        <v>High</v>
      </c>
      <c r="W232" s="17" t="str">
        <f aca="false">IF(OR(B232="Same Day",B232="First Class"),"Fast","Standard")</f>
        <v>Standard</v>
      </c>
      <c r="X232" s="19" t="n">
        <f aca="false">ROUND(K232/L232,2)</f>
        <v>2.66</v>
      </c>
    </row>
    <row r="233" customFormat="false" ht="15" hidden="false" customHeight="false" outlineLevel="0" collapsed="false">
      <c r="A233" s="14" t="n">
        <v>232</v>
      </c>
      <c r="B233" s="14" t="s">
        <v>139</v>
      </c>
      <c r="C233" s="14" t="s">
        <v>153</v>
      </c>
      <c r="D233" s="14" t="s">
        <v>128</v>
      </c>
      <c r="E233" s="14" t="s">
        <v>250</v>
      </c>
      <c r="F233" s="14" t="s">
        <v>141</v>
      </c>
      <c r="G233" s="14" t="n">
        <v>33614</v>
      </c>
      <c r="H233" s="14" t="s">
        <v>131</v>
      </c>
      <c r="I233" s="14" t="s">
        <v>132</v>
      </c>
      <c r="J233" s="14" t="s">
        <v>142</v>
      </c>
      <c r="K233" s="15" t="n">
        <v>233.86</v>
      </c>
      <c r="L233" s="14" t="n">
        <v>2</v>
      </c>
      <c r="M233" s="16" t="n">
        <v>0.45</v>
      </c>
      <c r="N233" s="15" t="n">
        <v>-102.048</v>
      </c>
      <c r="O233" s="17" t="str">
        <f aca="false">UPPER(LEFT(F233,3))&amp;"-"&amp;G233</f>
        <v>FLO-33614</v>
      </c>
      <c r="P233" s="17" t="str">
        <f aca="false">PROPER(TRIM(E233))</f>
        <v>Tampa</v>
      </c>
      <c r="Q233" s="17" t="str">
        <f aca="false">IFERROR(VLOOKUP(F233,Lookups!$A$2:$B$50,2,FALSE()),"Not found")</f>
        <v>South</v>
      </c>
      <c r="R233" s="17" t="str">
        <f aca="false">IF(Q233=H233,"Match","Mismatch")</f>
        <v>Match</v>
      </c>
      <c r="S233" s="17" t="str">
        <f aca="false">IFERROR(INDEX(SubCatCat,MATCH(J233,SubCatName,0)),"Not found")</f>
        <v>Furniture</v>
      </c>
      <c r="T233" s="18" t="n">
        <f aca="false">IF(K233=0,0,N233/K233)</f>
        <v>-0.436363636363636</v>
      </c>
      <c r="U233" s="17" t="str">
        <f aca="false">IF(N233&lt;0,"Loss",IF(T233&gt;=0.2,"High margin","Normal"))</f>
        <v>Loss</v>
      </c>
      <c r="V233" s="17" t="str">
        <f aca="false">IF(M233=0,"No discount",IF(M233&lt;=0.2,"Low",IF(M233&lt;=0.4,"Medium","High")))</f>
        <v>High</v>
      </c>
      <c r="W233" s="17" t="str">
        <f aca="false">IF(OR(B233="Same Day",B233="First Class"),"Fast","Standard")</f>
        <v>Standard</v>
      </c>
      <c r="X233" s="19" t="n">
        <f aca="false">ROUND(K233/L233,2)</f>
        <v>116.93</v>
      </c>
    </row>
    <row r="234" customFormat="false" ht="15" hidden="false" customHeight="false" outlineLevel="0" collapsed="false">
      <c r="A234" s="14" t="n">
        <v>233</v>
      </c>
      <c r="B234" s="14" t="s">
        <v>139</v>
      </c>
      <c r="C234" s="14" t="s">
        <v>153</v>
      </c>
      <c r="D234" s="14" t="s">
        <v>128</v>
      </c>
      <c r="E234" s="14" t="s">
        <v>250</v>
      </c>
      <c r="F234" s="14" t="s">
        <v>141</v>
      </c>
      <c r="G234" s="14" t="n">
        <v>33614</v>
      </c>
      <c r="H234" s="14" t="s">
        <v>131</v>
      </c>
      <c r="I234" s="14" t="s">
        <v>132</v>
      </c>
      <c r="J234" s="14" t="s">
        <v>142</v>
      </c>
      <c r="K234" s="15" t="n">
        <v>620.6145</v>
      </c>
      <c r="L234" s="14" t="n">
        <v>3</v>
      </c>
      <c r="M234" s="16" t="n">
        <v>0.45</v>
      </c>
      <c r="N234" s="15" t="n">
        <v>-248.2458</v>
      </c>
      <c r="O234" s="17" t="str">
        <f aca="false">UPPER(LEFT(F234,3))&amp;"-"&amp;G234</f>
        <v>FLO-33614</v>
      </c>
      <c r="P234" s="17" t="str">
        <f aca="false">PROPER(TRIM(E234))</f>
        <v>Tampa</v>
      </c>
      <c r="Q234" s="17" t="str">
        <f aca="false">IFERROR(VLOOKUP(F234,Lookups!$A$2:$B$50,2,FALSE()),"Not found")</f>
        <v>South</v>
      </c>
      <c r="R234" s="17" t="str">
        <f aca="false">IF(Q234=H234,"Match","Mismatch")</f>
        <v>Match</v>
      </c>
      <c r="S234" s="17" t="str">
        <f aca="false">IFERROR(INDEX(SubCatCat,MATCH(J234,SubCatName,0)),"Not found")</f>
        <v>Furniture</v>
      </c>
      <c r="T234" s="18" t="n">
        <f aca="false">IF(K234=0,0,N234/K234)</f>
        <v>-0.4</v>
      </c>
      <c r="U234" s="17" t="str">
        <f aca="false">IF(N234&lt;0,"Loss",IF(T234&gt;=0.2,"High margin","Normal"))</f>
        <v>Loss</v>
      </c>
      <c r="V234" s="17" t="str">
        <f aca="false">IF(M234=0,"No discount",IF(M234&lt;=0.2,"Low",IF(M234&lt;=0.4,"Medium","High")))</f>
        <v>High</v>
      </c>
      <c r="W234" s="17" t="str">
        <f aca="false">IF(OR(B234="Same Day",B234="First Class"),"Fast","Standard")</f>
        <v>Standard</v>
      </c>
      <c r="X234" s="19" t="n">
        <f aca="false">ROUND(K234/L234,2)</f>
        <v>206.87</v>
      </c>
    </row>
    <row r="235" customFormat="false" ht="15" hidden="false" customHeight="false" outlineLevel="0" collapsed="false">
      <c r="A235" s="14" t="n">
        <v>234</v>
      </c>
      <c r="B235" s="14" t="s">
        <v>139</v>
      </c>
      <c r="C235" s="14" t="s">
        <v>153</v>
      </c>
      <c r="D235" s="14" t="s">
        <v>128</v>
      </c>
      <c r="E235" s="14" t="s">
        <v>250</v>
      </c>
      <c r="F235" s="14" t="s">
        <v>141</v>
      </c>
      <c r="G235" s="14" t="n">
        <v>33614</v>
      </c>
      <c r="H235" s="14" t="s">
        <v>131</v>
      </c>
      <c r="I235" s="14" t="s">
        <v>137</v>
      </c>
      <c r="J235" s="14" t="s">
        <v>146</v>
      </c>
      <c r="K235" s="15" t="n">
        <v>5.328</v>
      </c>
      <c r="L235" s="14" t="n">
        <v>2</v>
      </c>
      <c r="M235" s="16" t="n">
        <v>0.7</v>
      </c>
      <c r="N235" s="15" t="n">
        <v>-3.552</v>
      </c>
      <c r="O235" s="17" t="str">
        <f aca="false">UPPER(LEFT(F235,3))&amp;"-"&amp;G235</f>
        <v>FLO-33614</v>
      </c>
      <c r="P235" s="17" t="str">
        <f aca="false">PROPER(TRIM(E235))</f>
        <v>Tampa</v>
      </c>
      <c r="Q235" s="17" t="str">
        <f aca="false">IFERROR(VLOOKUP(F235,Lookups!$A$2:$B$50,2,FALSE()),"Not found")</f>
        <v>South</v>
      </c>
      <c r="R235" s="17" t="str">
        <f aca="false">IF(Q235=H235,"Match","Mismatch")</f>
        <v>Match</v>
      </c>
      <c r="S235" s="17" t="str">
        <f aca="false">IFERROR(INDEX(SubCatCat,MATCH(J235,SubCatName,0)),"Not found")</f>
        <v>Office Supplies</v>
      </c>
      <c r="T235" s="18" t="n">
        <f aca="false">IF(K235=0,0,N235/K235)</f>
        <v>-0.666666666666667</v>
      </c>
      <c r="U235" s="17" t="str">
        <f aca="false">IF(N235&lt;0,"Loss",IF(T235&gt;=0.2,"High margin","Normal"))</f>
        <v>Loss</v>
      </c>
      <c r="V235" s="17" t="str">
        <f aca="false">IF(M235=0,"No discount",IF(M235&lt;=0.2,"Low",IF(M235&lt;=0.4,"Medium","High")))</f>
        <v>High</v>
      </c>
      <c r="W235" s="17" t="str">
        <f aca="false">IF(OR(B235="Same Day",B235="First Class"),"Fast","Standard")</f>
        <v>Standard</v>
      </c>
      <c r="X235" s="19" t="n">
        <f aca="false">ROUND(K235/L235,2)</f>
        <v>2.66</v>
      </c>
    </row>
    <row r="236" customFormat="false" ht="15" hidden="false" customHeight="false" outlineLevel="0" collapsed="false">
      <c r="A236" s="14" t="n">
        <v>235</v>
      </c>
      <c r="B236" s="14" t="s">
        <v>139</v>
      </c>
      <c r="C236" s="14" t="s">
        <v>153</v>
      </c>
      <c r="D236" s="14" t="s">
        <v>128</v>
      </c>
      <c r="E236" s="14" t="s">
        <v>250</v>
      </c>
      <c r="F236" s="14" t="s">
        <v>141</v>
      </c>
      <c r="G236" s="14" t="n">
        <v>33614</v>
      </c>
      <c r="H236" s="14" t="s">
        <v>131</v>
      </c>
      <c r="I236" s="14" t="s">
        <v>132</v>
      </c>
      <c r="J236" s="14" t="s">
        <v>144</v>
      </c>
      <c r="K236" s="15" t="n">
        <v>258.072</v>
      </c>
      <c r="L236" s="14" t="n">
        <v>3</v>
      </c>
      <c r="M236" s="16" t="n">
        <v>0.2</v>
      </c>
      <c r="N236" s="15" t="n">
        <v>0</v>
      </c>
      <c r="O236" s="17" t="str">
        <f aca="false">UPPER(LEFT(F236,3))&amp;"-"&amp;G236</f>
        <v>FLO-33614</v>
      </c>
      <c r="P236" s="17" t="str">
        <f aca="false">PROPER(TRIM(E236))</f>
        <v>Tampa</v>
      </c>
      <c r="Q236" s="17" t="str">
        <f aca="false">IFERROR(VLOOKUP(F236,Lookups!$A$2:$B$50,2,FALSE()),"Not found")</f>
        <v>South</v>
      </c>
      <c r="R236" s="17" t="str">
        <f aca="false">IF(Q236=H236,"Match","Mismatch")</f>
        <v>Match</v>
      </c>
      <c r="S236" s="17" t="str">
        <f aca="false">IFERROR(INDEX(SubCatCat,MATCH(J236,SubCatName,0)),"Not found")</f>
        <v>Furniture</v>
      </c>
      <c r="T236" s="18" t="n">
        <f aca="false">IF(K236=0,0,N236/K236)</f>
        <v>0</v>
      </c>
      <c r="U236" s="17" t="str">
        <f aca="false">IF(N236&lt;0,"Loss",IF(T236&gt;=0.2,"High margin","Normal"))</f>
        <v>Normal</v>
      </c>
      <c r="V236" s="17" t="str">
        <f aca="false">IF(M236=0,"No discount",IF(M236&lt;=0.2,"Low",IF(M236&lt;=0.4,"Medium","High")))</f>
        <v>Low</v>
      </c>
      <c r="W236" s="17" t="str">
        <f aca="false">IF(OR(B236="Same Day",B236="First Class"),"Fast","Standard")</f>
        <v>Standard</v>
      </c>
      <c r="X236" s="19" t="n">
        <f aca="false">ROUND(K236/L236,2)</f>
        <v>86.02</v>
      </c>
    </row>
    <row r="237" customFormat="false" ht="15" hidden="false" customHeight="false" outlineLevel="0" collapsed="false">
      <c r="A237" s="14" t="n">
        <v>236</v>
      </c>
      <c r="B237" s="14" t="s">
        <v>139</v>
      </c>
      <c r="C237" s="14" t="s">
        <v>153</v>
      </c>
      <c r="D237" s="14" t="s">
        <v>128</v>
      </c>
      <c r="E237" s="14" t="s">
        <v>250</v>
      </c>
      <c r="F237" s="14" t="s">
        <v>141</v>
      </c>
      <c r="G237" s="14" t="n">
        <v>33614</v>
      </c>
      <c r="H237" s="14" t="s">
        <v>131</v>
      </c>
      <c r="I237" s="14" t="s">
        <v>5</v>
      </c>
      <c r="J237" s="14" t="s">
        <v>168</v>
      </c>
      <c r="K237" s="15" t="n">
        <v>617.976</v>
      </c>
      <c r="L237" s="14" t="n">
        <v>3</v>
      </c>
      <c r="M237" s="16" t="n">
        <v>0.2</v>
      </c>
      <c r="N237" s="15" t="n">
        <v>-7.7247</v>
      </c>
      <c r="O237" s="17" t="str">
        <f aca="false">UPPER(LEFT(F237,3))&amp;"-"&amp;G237</f>
        <v>FLO-33614</v>
      </c>
      <c r="P237" s="17" t="str">
        <f aca="false">PROPER(TRIM(E237))</f>
        <v>Tampa</v>
      </c>
      <c r="Q237" s="17" t="str">
        <f aca="false">IFERROR(VLOOKUP(F237,Lookups!$A$2:$B$50,2,FALSE()),"Not found")</f>
        <v>South</v>
      </c>
      <c r="R237" s="17" t="str">
        <f aca="false">IF(Q237=H237,"Match","Mismatch")</f>
        <v>Match</v>
      </c>
      <c r="S237" s="17" t="str">
        <f aca="false">IFERROR(INDEX(SubCatCat,MATCH(J237,SubCatName,0)),"Not found")</f>
        <v>Technology</v>
      </c>
      <c r="T237" s="18" t="n">
        <f aca="false">IF(K237=0,0,N237/K237)</f>
        <v>-0.0125</v>
      </c>
      <c r="U237" s="17" t="str">
        <f aca="false">IF(N237&lt;0,"Loss",IF(T237&gt;=0.2,"High margin","Normal"))</f>
        <v>Loss</v>
      </c>
      <c r="V237" s="17" t="str">
        <f aca="false">IF(M237=0,"No discount",IF(M237&lt;=0.2,"Low",IF(M237&lt;=0.4,"Medium","High")))</f>
        <v>Low</v>
      </c>
      <c r="W237" s="17" t="str">
        <f aca="false">IF(OR(B237="Same Day",B237="First Class"),"Fast","Standard")</f>
        <v>Standard</v>
      </c>
      <c r="X237" s="19" t="n">
        <f aca="false">ROUND(K237/L237,2)</f>
        <v>205.99</v>
      </c>
    </row>
    <row r="238" customFormat="false" ht="15" hidden="false" customHeight="false" outlineLevel="0" collapsed="false">
      <c r="A238" s="14" t="n">
        <v>237</v>
      </c>
      <c r="B238" s="14" t="s">
        <v>139</v>
      </c>
      <c r="C238" s="14" t="s">
        <v>135</v>
      </c>
      <c r="D238" s="14" t="s">
        <v>128</v>
      </c>
      <c r="E238" s="14" t="s">
        <v>251</v>
      </c>
      <c r="F238" s="14" t="s">
        <v>9</v>
      </c>
      <c r="G238" s="14" t="n">
        <v>95051</v>
      </c>
      <c r="H238" s="14" t="s">
        <v>3</v>
      </c>
      <c r="I238" s="14" t="s">
        <v>137</v>
      </c>
      <c r="J238" s="14" t="s">
        <v>150</v>
      </c>
      <c r="K238" s="15" t="n">
        <v>10.56</v>
      </c>
      <c r="L238" s="14" t="n">
        <v>2</v>
      </c>
      <c r="M238" s="16" t="n">
        <v>0</v>
      </c>
      <c r="N238" s="15" t="n">
        <v>4.752</v>
      </c>
      <c r="O238" s="17" t="str">
        <f aca="false">UPPER(LEFT(F238,3))&amp;"-"&amp;G238</f>
        <v>CAL-95051</v>
      </c>
      <c r="P238" s="17" t="str">
        <f aca="false">PROPER(TRIM(E238))</f>
        <v>Santa Clara</v>
      </c>
      <c r="Q238" s="17" t="str">
        <f aca="false">IFERROR(VLOOKUP(F238,Lookups!$A$2:$B$50,2,FALSE()),"Not found")</f>
        <v>West</v>
      </c>
      <c r="R238" s="17" t="str">
        <f aca="false">IF(Q238=H238,"Match","Mismatch")</f>
        <v>Match</v>
      </c>
      <c r="S238" s="17" t="str">
        <f aca="false">IFERROR(INDEX(SubCatCat,MATCH(J238,SubCatName,0)),"Not found")</f>
        <v>Office Supplies</v>
      </c>
      <c r="T238" s="18" t="n">
        <f aca="false">IF(K238=0,0,N238/K238)</f>
        <v>0.45</v>
      </c>
      <c r="U238" s="17" t="str">
        <f aca="false">IF(N238&lt;0,"Loss",IF(T238&gt;=0.2,"High margin","Normal"))</f>
        <v>High margin</v>
      </c>
      <c r="V238" s="17" t="str">
        <f aca="false">IF(M238=0,"No discount",IF(M238&lt;=0.2,"Low",IF(M238&lt;=0.4,"Medium","High")))</f>
        <v>No discount</v>
      </c>
      <c r="W238" s="17" t="str">
        <f aca="false">IF(OR(B238="Same Day",B238="First Class"),"Fast","Standard")</f>
        <v>Standard</v>
      </c>
      <c r="X238" s="19" t="n">
        <f aca="false">ROUND(K238/L238,2)</f>
        <v>5.28</v>
      </c>
    </row>
    <row r="239" customFormat="false" ht="15" hidden="false" customHeight="false" outlineLevel="0" collapsed="false">
      <c r="A239" s="14" t="n">
        <v>238</v>
      </c>
      <c r="B239" s="14" t="s">
        <v>127</v>
      </c>
      <c r="C239" s="14" t="s">
        <v>7</v>
      </c>
      <c r="D239" s="14" t="s">
        <v>128</v>
      </c>
      <c r="E239" s="14" t="s">
        <v>188</v>
      </c>
      <c r="F239" s="14" t="s">
        <v>174</v>
      </c>
      <c r="G239" s="14" t="n">
        <v>60610</v>
      </c>
      <c r="H239" s="14" t="s">
        <v>156</v>
      </c>
      <c r="I239" s="14" t="s">
        <v>137</v>
      </c>
      <c r="J239" s="14" t="s">
        <v>150</v>
      </c>
      <c r="K239" s="15" t="n">
        <v>25.92</v>
      </c>
      <c r="L239" s="14" t="n">
        <v>5</v>
      </c>
      <c r="M239" s="16" t="n">
        <v>0.2</v>
      </c>
      <c r="N239" s="15" t="n">
        <v>9.396</v>
      </c>
      <c r="O239" s="17" t="str">
        <f aca="false">UPPER(LEFT(F239,3))&amp;"-"&amp;G239</f>
        <v>ILL-60610</v>
      </c>
      <c r="P239" s="17" t="str">
        <f aca="false">PROPER(TRIM(E239))</f>
        <v>Chicago</v>
      </c>
      <c r="Q239" s="17" t="str">
        <f aca="false">IFERROR(VLOOKUP(F239,Lookups!$A$2:$B$50,2,FALSE()),"Not found")</f>
        <v>Central</v>
      </c>
      <c r="R239" s="17" t="str">
        <f aca="false">IF(Q239=H239,"Match","Mismatch")</f>
        <v>Match</v>
      </c>
      <c r="S239" s="17" t="str">
        <f aca="false">IFERROR(INDEX(SubCatCat,MATCH(J239,SubCatName,0)),"Not found")</f>
        <v>Office Supplies</v>
      </c>
      <c r="T239" s="18" t="n">
        <f aca="false">IF(K239=0,0,N239/K239)</f>
        <v>0.3625</v>
      </c>
      <c r="U239" s="17" t="str">
        <f aca="false">IF(N239&lt;0,"Loss",IF(T239&gt;=0.2,"High margin","Normal"))</f>
        <v>High margin</v>
      </c>
      <c r="V239" s="17" t="str">
        <f aca="false">IF(M239=0,"No discount",IF(M239&lt;=0.2,"Low",IF(M239&lt;=0.4,"Medium","High")))</f>
        <v>Low</v>
      </c>
      <c r="W239" s="17" t="str">
        <f aca="false">IF(OR(B239="Same Day",B239="First Class"),"Fast","Standard")</f>
        <v>Standard</v>
      </c>
      <c r="X239" s="19" t="n">
        <f aca="false">ROUND(K239/L239,2)</f>
        <v>5.18</v>
      </c>
    </row>
    <row r="240" customFormat="false" ht="15" hidden="false" customHeight="false" outlineLevel="0" collapsed="false">
      <c r="A240" s="14" t="n">
        <v>239</v>
      </c>
      <c r="B240" s="14" t="s">
        <v>127</v>
      </c>
      <c r="C240" s="14" t="s">
        <v>7</v>
      </c>
      <c r="D240" s="14" t="s">
        <v>128</v>
      </c>
      <c r="E240" s="14" t="s">
        <v>188</v>
      </c>
      <c r="F240" s="14" t="s">
        <v>174</v>
      </c>
      <c r="G240" s="14" t="n">
        <v>60610</v>
      </c>
      <c r="H240" s="14" t="s">
        <v>156</v>
      </c>
      <c r="I240" s="14" t="s">
        <v>132</v>
      </c>
      <c r="J240" s="14" t="s">
        <v>144</v>
      </c>
      <c r="K240" s="15" t="n">
        <v>419.68</v>
      </c>
      <c r="L240" s="14" t="n">
        <v>5</v>
      </c>
      <c r="M240" s="16" t="n">
        <v>0.6</v>
      </c>
      <c r="N240" s="15" t="n">
        <v>-356.728</v>
      </c>
      <c r="O240" s="17" t="str">
        <f aca="false">UPPER(LEFT(F240,3))&amp;"-"&amp;G240</f>
        <v>ILL-60610</v>
      </c>
      <c r="P240" s="17" t="str">
        <f aca="false">PROPER(TRIM(E240))</f>
        <v>Chicago</v>
      </c>
      <c r="Q240" s="17" t="str">
        <f aca="false">IFERROR(VLOOKUP(F240,Lookups!$A$2:$B$50,2,FALSE()),"Not found")</f>
        <v>Central</v>
      </c>
      <c r="R240" s="17" t="str">
        <f aca="false">IF(Q240=H240,"Match","Mismatch")</f>
        <v>Match</v>
      </c>
      <c r="S240" s="17" t="str">
        <f aca="false">IFERROR(INDEX(SubCatCat,MATCH(J240,SubCatName,0)),"Not found")</f>
        <v>Furniture</v>
      </c>
      <c r="T240" s="18" t="n">
        <f aca="false">IF(K240=0,0,N240/K240)</f>
        <v>-0.85</v>
      </c>
      <c r="U240" s="17" t="str">
        <f aca="false">IF(N240&lt;0,"Loss",IF(T240&gt;=0.2,"High margin","Normal"))</f>
        <v>Loss</v>
      </c>
      <c r="V240" s="17" t="str">
        <f aca="false">IF(M240=0,"No discount",IF(M240&lt;=0.2,"Low",IF(M240&lt;=0.4,"Medium","High")))</f>
        <v>High</v>
      </c>
      <c r="W240" s="17" t="str">
        <f aca="false">IF(OR(B240="Same Day",B240="First Class"),"Fast","Standard")</f>
        <v>Standard</v>
      </c>
      <c r="X240" s="19" t="n">
        <f aca="false">ROUND(K240/L240,2)</f>
        <v>83.94</v>
      </c>
    </row>
    <row r="241" customFormat="false" ht="15" hidden="false" customHeight="false" outlineLevel="0" collapsed="false">
      <c r="A241" s="14" t="n">
        <v>240</v>
      </c>
      <c r="B241" s="14" t="s">
        <v>127</v>
      </c>
      <c r="C241" s="14" t="s">
        <v>7</v>
      </c>
      <c r="D241" s="14" t="s">
        <v>128</v>
      </c>
      <c r="E241" s="14" t="s">
        <v>188</v>
      </c>
      <c r="F241" s="14" t="s">
        <v>174</v>
      </c>
      <c r="G241" s="14" t="n">
        <v>60610</v>
      </c>
      <c r="H241" s="14" t="s">
        <v>156</v>
      </c>
      <c r="I241" s="14" t="s">
        <v>132</v>
      </c>
      <c r="J241" s="14" t="s">
        <v>144</v>
      </c>
      <c r="K241" s="15" t="n">
        <v>11.688</v>
      </c>
      <c r="L241" s="14" t="n">
        <v>3</v>
      </c>
      <c r="M241" s="16" t="n">
        <v>0.6</v>
      </c>
      <c r="N241" s="15" t="n">
        <v>-4.6752</v>
      </c>
      <c r="O241" s="17" t="str">
        <f aca="false">UPPER(LEFT(F241,3))&amp;"-"&amp;G241</f>
        <v>ILL-60610</v>
      </c>
      <c r="P241" s="17" t="str">
        <f aca="false">PROPER(TRIM(E241))</f>
        <v>Chicago</v>
      </c>
      <c r="Q241" s="17" t="str">
        <f aca="false">IFERROR(VLOOKUP(F241,Lookups!$A$2:$B$50,2,FALSE()),"Not found")</f>
        <v>Central</v>
      </c>
      <c r="R241" s="17" t="str">
        <f aca="false">IF(Q241=H241,"Match","Mismatch")</f>
        <v>Match</v>
      </c>
      <c r="S241" s="17" t="str">
        <f aca="false">IFERROR(INDEX(SubCatCat,MATCH(J241,SubCatName,0)),"Not found")</f>
        <v>Furniture</v>
      </c>
      <c r="T241" s="18" t="n">
        <f aca="false">IF(K241=0,0,N241/K241)</f>
        <v>-0.4</v>
      </c>
      <c r="U241" s="17" t="str">
        <f aca="false">IF(N241&lt;0,"Loss",IF(T241&gt;=0.2,"High margin","Normal"))</f>
        <v>Loss</v>
      </c>
      <c r="V241" s="17" t="str">
        <f aca="false">IF(M241=0,"No discount",IF(M241&lt;=0.2,"Low",IF(M241&lt;=0.4,"Medium","High")))</f>
        <v>High</v>
      </c>
      <c r="W241" s="17" t="str">
        <f aca="false">IF(OR(B241="Same Day",B241="First Class"),"Fast","Standard")</f>
        <v>Standard</v>
      </c>
      <c r="X241" s="19" t="n">
        <f aca="false">ROUND(K241/L241,2)</f>
        <v>3.9</v>
      </c>
    </row>
    <row r="242" customFormat="false" ht="15" hidden="false" customHeight="false" outlineLevel="0" collapsed="false">
      <c r="A242" s="14" t="n">
        <v>241</v>
      </c>
      <c r="B242" s="14" t="s">
        <v>127</v>
      </c>
      <c r="C242" s="14" t="s">
        <v>7</v>
      </c>
      <c r="D242" s="14" t="s">
        <v>128</v>
      </c>
      <c r="E242" s="14" t="s">
        <v>188</v>
      </c>
      <c r="F242" s="14" t="s">
        <v>174</v>
      </c>
      <c r="G242" s="14" t="n">
        <v>60610</v>
      </c>
      <c r="H242" s="14" t="s">
        <v>156</v>
      </c>
      <c r="I242" s="14" t="s">
        <v>5</v>
      </c>
      <c r="J242" s="14" t="s">
        <v>11</v>
      </c>
      <c r="K242" s="15" t="n">
        <v>31.984</v>
      </c>
      <c r="L242" s="14" t="n">
        <v>2</v>
      </c>
      <c r="M242" s="16" t="n">
        <v>0.2</v>
      </c>
      <c r="N242" s="15" t="n">
        <v>11.1944</v>
      </c>
      <c r="O242" s="17" t="str">
        <f aca="false">UPPER(LEFT(F242,3))&amp;"-"&amp;G242</f>
        <v>ILL-60610</v>
      </c>
      <c r="P242" s="17" t="str">
        <f aca="false">PROPER(TRIM(E242))</f>
        <v>Chicago</v>
      </c>
      <c r="Q242" s="17" t="str">
        <f aca="false">IFERROR(VLOOKUP(F242,Lookups!$A$2:$B$50,2,FALSE()),"Not found")</f>
        <v>Central</v>
      </c>
      <c r="R242" s="17" t="str">
        <f aca="false">IF(Q242=H242,"Match","Mismatch")</f>
        <v>Match</v>
      </c>
      <c r="S242" s="17" t="str">
        <f aca="false">IFERROR(INDEX(SubCatCat,MATCH(J242,SubCatName,0)),"Not found")</f>
        <v>Technology</v>
      </c>
      <c r="T242" s="18" t="n">
        <f aca="false">IF(K242=0,0,N242/K242)</f>
        <v>0.35</v>
      </c>
      <c r="U242" s="17" t="str">
        <f aca="false">IF(N242&lt;0,"Loss",IF(T242&gt;=0.2,"High margin","Normal"))</f>
        <v>High margin</v>
      </c>
      <c r="V242" s="17" t="str">
        <f aca="false">IF(M242=0,"No discount",IF(M242&lt;=0.2,"Low",IF(M242&lt;=0.4,"Medium","High")))</f>
        <v>Low</v>
      </c>
      <c r="W242" s="17" t="str">
        <f aca="false">IF(OR(B242="Same Day",B242="First Class"),"Fast","Standard")</f>
        <v>Standard</v>
      </c>
      <c r="X242" s="19" t="n">
        <f aca="false">ROUND(K242/L242,2)</f>
        <v>15.99</v>
      </c>
    </row>
    <row r="243" customFormat="false" ht="15" hidden="false" customHeight="false" outlineLevel="0" collapsed="false">
      <c r="A243" s="14" t="n">
        <v>242</v>
      </c>
      <c r="B243" s="14" t="s">
        <v>127</v>
      </c>
      <c r="C243" s="14" t="s">
        <v>7</v>
      </c>
      <c r="D243" s="14" t="s">
        <v>128</v>
      </c>
      <c r="E243" s="14" t="s">
        <v>188</v>
      </c>
      <c r="F243" s="14" t="s">
        <v>174</v>
      </c>
      <c r="G243" s="14" t="n">
        <v>60610</v>
      </c>
      <c r="H243" s="14" t="s">
        <v>156</v>
      </c>
      <c r="I243" s="14" t="s">
        <v>132</v>
      </c>
      <c r="J243" s="14" t="s">
        <v>142</v>
      </c>
      <c r="K243" s="15" t="n">
        <v>177.225</v>
      </c>
      <c r="L243" s="14" t="n">
        <v>5</v>
      </c>
      <c r="M243" s="16" t="n">
        <v>0.5</v>
      </c>
      <c r="N243" s="15" t="n">
        <v>-120.513</v>
      </c>
      <c r="O243" s="17" t="str">
        <f aca="false">UPPER(LEFT(F243,3))&amp;"-"&amp;G243</f>
        <v>ILL-60610</v>
      </c>
      <c r="P243" s="17" t="str">
        <f aca="false">PROPER(TRIM(E243))</f>
        <v>Chicago</v>
      </c>
      <c r="Q243" s="17" t="str">
        <f aca="false">IFERROR(VLOOKUP(F243,Lookups!$A$2:$B$50,2,FALSE()),"Not found")</f>
        <v>Central</v>
      </c>
      <c r="R243" s="17" t="str">
        <f aca="false">IF(Q243=H243,"Match","Mismatch")</f>
        <v>Match</v>
      </c>
      <c r="S243" s="17" t="str">
        <f aca="false">IFERROR(INDEX(SubCatCat,MATCH(J243,SubCatName,0)),"Not found")</f>
        <v>Furniture</v>
      </c>
      <c r="T243" s="18" t="n">
        <f aca="false">IF(K243=0,0,N243/K243)</f>
        <v>-0.68</v>
      </c>
      <c r="U243" s="17" t="str">
        <f aca="false">IF(N243&lt;0,"Loss",IF(T243&gt;=0.2,"High margin","Normal"))</f>
        <v>Loss</v>
      </c>
      <c r="V243" s="17" t="str">
        <f aca="false">IF(M243=0,"No discount",IF(M243&lt;=0.2,"Low",IF(M243&lt;=0.4,"Medium","High")))</f>
        <v>High</v>
      </c>
      <c r="W243" s="17" t="str">
        <f aca="false">IF(OR(B243="Same Day",B243="First Class"),"Fast","Standard")</f>
        <v>Standard</v>
      </c>
      <c r="X243" s="19" t="n">
        <f aca="false">ROUND(K243/L243,2)</f>
        <v>35.45</v>
      </c>
    </row>
    <row r="244" customFormat="false" ht="15" hidden="false" customHeight="false" outlineLevel="0" collapsed="false">
      <c r="A244" s="14" t="n">
        <v>243</v>
      </c>
      <c r="B244" s="14" t="s">
        <v>127</v>
      </c>
      <c r="C244" s="14" t="s">
        <v>7</v>
      </c>
      <c r="D244" s="14" t="s">
        <v>128</v>
      </c>
      <c r="E244" s="14" t="s">
        <v>188</v>
      </c>
      <c r="F244" s="14" t="s">
        <v>174</v>
      </c>
      <c r="G244" s="14" t="n">
        <v>60610</v>
      </c>
      <c r="H244" s="14" t="s">
        <v>156</v>
      </c>
      <c r="I244" s="14" t="s">
        <v>132</v>
      </c>
      <c r="J244" s="14" t="s">
        <v>144</v>
      </c>
      <c r="K244" s="15" t="n">
        <v>4.044</v>
      </c>
      <c r="L244" s="14" t="n">
        <v>3</v>
      </c>
      <c r="M244" s="16" t="n">
        <v>0.6</v>
      </c>
      <c r="N244" s="15" t="n">
        <v>-2.8308</v>
      </c>
      <c r="O244" s="17" t="str">
        <f aca="false">UPPER(LEFT(F244,3))&amp;"-"&amp;G244</f>
        <v>ILL-60610</v>
      </c>
      <c r="P244" s="17" t="str">
        <f aca="false">PROPER(TRIM(E244))</f>
        <v>Chicago</v>
      </c>
      <c r="Q244" s="17" t="str">
        <f aca="false">IFERROR(VLOOKUP(F244,Lookups!$A$2:$B$50,2,FALSE()),"Not found")</f>
        <v>Central</v>
      </c>
      <c r="R244" s="17" t="str">
        <f aca="false">IF(Q244=H244,"Match","Mismatch")</f>
        <v>Match</v>
      </c>
      <c r="S244" s="17" t="str">
        <f aca="false">IFERROR(INDEX(SubCatCat,MATCH(J244,SubCatName,0)),"Not found")</f>
        <v>Furniture</v>
      </c>
      <c r="T244" s="18" t="n">
        <f aca="false">IF(K244=0,0,N244/K244)</f>
        <v>-0.7</v>
      </c>
      <c r="U244" s="17" t="str">
        <f aca="false">IF(N244&lt;0,"Loss",IF(T244&gt;=0.2,"High margin","Normal"))</f>
        <v>Loss</v>
      </c>
      <c r="V244" s="17" t="str">
        <f aca="false">IF(M244=0,"No discount",IF(M244&lt;=0.2,"Low",IF(M244&lt;=0.4,"Medium","High")))</f>
        <v>High</v>
      </c>
      <c r="W244" s="17" t="str">
        <f aca="false">IF(OR(B244="Same Day",B244="First Class"),"Fast","Standard")</f>
        <v>Standard</v>
      </c>
      <c r="X244" s="19" t="n">
        <f aca="false">ROUND(K244/L244,2)</f>
        <v>1.35</v>
      </c>
    </row>
    <row r="245" customFormat="false" ht="15" hidden="false" customHeight="false" outlineLevel="0" collapsed="false">
      <c r="A245" s="14" t="n">
        <v>244</v>
      </c>
      <c r="B245" s="14" t="s">
        <v>127</v>
      </c>
      <c r="C245" s="14" t="s">
        <v>7</v>
      </c>
      <c r="D245" s="14" t="s">
        <v>128</v>
      </c>
      <c r="E245" s="14" t="s">
        <v>188</v>
      </c>
      <c r="F245" s="14" t="s">
        <v>174</v>
      </c>
      <c r="G245" s="14" t="n">
        <v>60610</v>
      </c>
      <c r="H245" s="14" t="s">
        <v>156</v>
      </c>
      <c r="I245" s="14" t="s">
        <v>137</v>
      </c>
      <c r="J245" s="14" t="s">
        <v>145</v>
      </c>
      <c r="K245" s="15" t="n">
        <v>7.408</v>
      </c>
      <c r="L245" s="14" t="n">
        <v>2</v>
      </c>
      <c r="M245" s="16" t="n">
        <v>0.2</v>
      </c>
      <c r="N245" s="15" t="n">
        <v>1.2038</v>
      </c>
      <c r="O245" s="17" t="str">
        <f aca="false">UPPER(LEFT(F245,3))&amp;"-"&amp;G245</f>
        <v>ILL-60610</v>
      </c>
      <c r="P245" s="17" t="str">
        <f aca="false">PROPER(TRIM(E245))</f>
        <v>Chicago</v>
      </c>
      <c r="Q245" s="17" t="str">
        <f aca="false">IFERROR(VLOOKUP(F245,Lookups!$A$2:$B$50,2,FALSE()),"Not found")</f>
        <v>Central</v>
      </c>
      <c r="R245" s="17" t="str">
        <f aca="false">IF(Q245=H245,"Match","Mismatch")</f>
        <v>Match</v>
      </c>
      <c r="S245" s="17" t="str">
        <f aca="false">IFERROR(INDEX(SubCatCat,MATCH(J245,SubCatName,0)),"Not found")</f>
        <v>Office Supplies</v>
      </c>
      <c r="T245" s="18" t="n">
        <f aca="false">IF(K245=0,0,N245/K245)</f>
        <v>0.1625</v>
      </c>
      <c r="U245" s="17" t="str">
        <f aca="false">IF(N245&lt;0,"Loss",IF(T245&gt;=0.2,"High margin","Normal"))</f>
        <v>Normal</v>
      </c>
      <c r="V245" s="17" t="str">
        <f aca="false">IF(M245=0,"No discount",IF(M245&lt;=0.2,"Low",IF(M245&lt;=0.4,"Medium","High")))</f>
        <v>Low</v>
      </c>
      <c r="W245" s="17" t="str">
        <f aca="false">IF(OR(B245="Same Day",B245="First Class"),"Fast","Standard")</f>
        <v>Standard</v>
      </c>
      <c r="X245" s="19" t="n">
        <f aca="false">ROUND(K245/L245,2)</f>
        <v>3.7</v>
      </c>
    </row>
    <row r="246" customFormat="false" ht="15" hidden="false" customHeight="false" outlineLevel="0" collapsed="false">
      <c r="A246" s="14" t="n">
        <v>245</v>
      </c>
      <c r="B246" s="14" t="s">
        <v>127</v>
      </c>
      <c r="C246" s="14" t="s">
        <v>153</v>
      </c>
      <c r="D246" s="14" t="s">
        <v>128</v>
      </c>
      <c r="E246" s="14" t="s">
        <v>252</v>
      </c>
      <c r="F246" s="14" t="s">
        <v>177</v>
      </c>
      <c r="G246" s="14" t="n">
        <v>55044</v>
      </c>
      <c r="H246" s="14" t="s">
        <v>156</v>
      </c>
      <c r="I246" s="14" t="s">
        <v>132</v>
      </c>
      <c r="J246" s="14" t="s">
        <v>134</v>
      </c>
      <c r="K246" s="15" t="n">
        <v>2001.86</v>
      </c>
      <c r="L246" s="14" t="n">
        <v>7</v>
      </c>
      <c r="M246" s="16" t="n">
        <v>0</v>
      </c>
      <c r="N246" s="15" t="n">
        <v>580.5394</v>
      </c>
      <c r="O246" s="17" t="str">
        <f aca="false">UPPER(LEFT(F246,3))&amp;"-"&amp;G246</f>
        <v>MIN-55044</v>
      </c>
      <c r="P246" s="17" t="str">
        <f aca="false">PROPER(TRIM(E246))</f>
        <v>Lakeville</v>
      </c>
      <c r="Q246" s="17" t="str">
        <f aca="false">IFERROR(VLOOKUP(F246,Lookups!$A$2:$B$50,2,FALSE()),"Not found")</f>
        <v>Central</v>
      </c>
      <c r="R246" s="17" t="str">
        <f aca="false">IF(Q246=H246,"Match","Mismatch")</f>
        <v>Match</v>
      </c>
      <c r="S246" s="17" t="str">
        <f aca="false">IFERROR(INDEX(SubCatCat,MATCH(J246,SubCatName,0)),"Not found")</f>
        <v>Furniture</v>
      </c>
      <c r="T246" s="18" t="n">
        <f aca="false">IF(K246=0,0,N246/K246)</f>
        <v>0.29</v>
      </c>
      <c r="U246" s="17" t="str">
        <f aca="false">IF(N246&lt;0,"Loss",IF(T246&gt;=0.2,"High margin","Normal"))</f>
        <v>High margin</v>
      </c>
      <c r="V246" s="17" t="str">
        <f aca="false">IF(M246=0,"No discount",IF(M246&lt;=0.2,"Low",IF(M246&lt;=0.4,"Medium","High")))</f>
        <v>No discount</v>
      </c>
      <c r="W246" s="17" t="str">
        <f aca="false">IF(OR(B246="Same Day",B246="First Class"),"Fast","Standard")</f>
        <v>Standard</v>
      </c>
      <c r="X246" s="19" t="n">
        <f aca="false">ROUND(K246/L246,2)</f>
        <v>285.98</v>
      </c>
    </row>
    <row r="247" customFormat="false" ht="15" hidden="false" customHeight="false" outlineLevel="0" collapsed="false">
      <c r="A247" s="14" t="n">
        <v>246</v>
      </c>
      <c r="B247" s="14" t="s">
        <v>127</v>
      </c>
      <c r="C247" s="14" t="s">
        <v>153</v>
      </c>
      <c r="D247" s="14" t="s">
        <v>128</v>
      </c>
      <c r="E247" s="14" t="s">
        <v>252</v>
      </c>
      <c r="F247" s="14" t="s">
        <v>177</v>
      </c>
      <c r="G247" s="14" t="n">
        <v>55044</v>
      </c>
      <c r="H247" s="14" t="s">
        <v>156</v>
      </c>
      <c r="I247" s="14" t="s">
        <v>137</v>
      </c>
      <c r="J247" s="14" t="s">
        <v>143</v>
      </c>
      <c r="K247" s="15" t="n">
        <v>166.72</v>
      </c>
      <c r="L247" s="14" t="n">
        <v>2</v>
      </c>
      <c r="M247" s="16" t="n">
        <v>0</v>
      </c>
      <c r="N247" s="15" t="n">
        <v>41.68</v>
      </c>
      <c r="O247" s="17" t="str">
        <f aca="false">UPPER(LEFT(F247,3))&amp;"-"&amp;G247</f>
        <v>MIN-55044</v>
      </c>
      <c r="P247" s="17" t="str">
        <f aca="false">PROPER(TRIM(E247))</f>
        <v>Lakeville</v>
      </c>
      <c r="Q247" s="17" t="str">
        <f aca="false">IFERROR(VLOOKUP(F247,Lookups!$A$2:$B$50,2,FALSE()),"Not found")</f>
        <v>Central</v>
      </c>
      <c r="R247" s="17" t="str">
        <f aca="false">IF(Q247=H247,"Match","Mismatch")</f>
        <v>Match</v>
      </c>
      <c r="S247" s="17" t="str">
        <f aca="false">IFERROR(INDEX(SubCatCat,MATCH(J247,SubCatName,0)),"Not found")</f>
        <v>Office Supplies</v>
      </c>
      <c r="T247" s="18" t="n">
        <f aca="false">IF(K247=0,0,N247/K247)</f>
        <v>0.25</v>
      </c>
      <c r="U247" s="17" t="str">
        <f aca="false">IF(N247&lt;0,"Loss",IF(T247&gt;=0.2,"High margin","Normal"))</f>
        <v>High margin</v>
      </c>
      <c r="V247" s="17" t="str">
        <f aca="false">IF(M247=0,"No discount",IF(M247&lt;=0.2,"Low",IF(M247&lt;=0.4,"Medium","High")))</f>
        <v>No discount</v>
      </c>
      <c r="W247" s="17" t="str">
        <f aca="false">IF(OR(B247="Same Day",B247="First Class"),"Fast","Standard")</f>
        <v>Standard</v>
      </c>
      <c r="X247" s="19" t="n">
        <f aca="false">ROUND(K247/L247,2)</f>
        <v>83.36</v>
      </c>
    </row>
    <row r="248" customFormat="false" ht="15" hidden="false" customHeight="false" outlineLevel="0" collapsed="false">
      <c r="A248" s="14" t="n">
        <v>247</v>
      </c>
      <c r="B248" s="14" t="s">
        <v>127</v>
      </c>
      <c r="C248" s="14" t="s">
        <v>153</v>
      </c>
      <c r="D248" s="14" t="s">
        <v>128</v>
      </c>
      <c r="E248" s="14" t="s">
        <v>252</v>
      </c>
      <c r="F248" s="14" t="s">
        <v>177</v>
      </c>
      <c r="G248" s="14" t="n">
        <v>55044</v>
      </c>
      <c r="H248" s="14" t="s">
        <v>156</v>
      </c>
      <c r="I248" s="14" t="s">
        <v>137</v>
      </c>
      <c r="J248" s="14" t="s">
        <v>150</v>
      </c>
      <c r="K248" s="15" t="n">
        <v>47.88</v>
      </c>
      <c r="L248" s="14" t="n">
        <v>6</v>
      </c>
      <c r="M248" s="16" t="n">
        <v>0</v>
      </c>
      <c r="N248" s="15" t="n">
        <v>23.94</v>
      </c>
      <c r="O248" s="17" t="str">
        <f aca="false">UPPER(LEFT(F248,3))&amp;"-"&amp;G248</f>
        <v>MIN-55044</v>
      </c>
      <c r="P248" s="17" t="str">
        <f aca="false">PROPER(TRIM(E248))</f>
        <v>Lakeville</v>
      </c>
      <c r="Q248" s="17" t="str">
        <f aca="false">IFERROR(VLOOKUP(F248,Lookups!$A$2:$B$50,2,FALSE()),"Not found")</f>
        <v>Central</v>
      </c>
      <c r="R248" s="17" t="str">
        <f aca="false">IF(Q248=H248,"Match","Mismatch")</f>
        <v>Match</v>
      </c>
      <c r="S248" s="17" t="str">
        <f aca="false">IFERROR(INDEX(SubCatCat,MATCH(J248,SubCatName,0)),"Not found")</f>
        <v>Office Supplies</v>
      </c>
      <c r="T248" s="18" t="n">
        <f aca="false">IF(K248=0,0,N248/K248)</f>
        <v>0.5</v>
      </c>
      <c r="U248" s="17" t="str">
        <f aca="false">IF(N248&lt;0,"Loss",IF(T248&gt;=0.2,"High margin","Normal"))</f>
        <v>High margin</v>
      </c>
      <c r="V248" s="17" t="str">
        <f aca="false">IF(M248=0,"No discount",IF(M248&lt;=0.2,"Low",IF(M248&lt;=0.4,"Medium","High")))</f>
        <v>No discount</v>
      </c>
      <c r="W248" s="17" t="str">
        <f aca="false">IF(OR(B248="Same Day",B248="First Class"),"Fast","Standard")</f>
        <v>Standard</v>
      </c>
      <c r="X248" s="19" t="n">
        <f aca="false">ROUND(K248/L248,2)</f>
        <v>7.98</v>
      </c>
    </row>
    <row r="249" customFormat="false" ht="15" hidden="false" customHeight="false" outlineLevel="0" collapsed="false">
      <c r="A249" s="14" t="n">
        <v>248</v>
      </c>
      <c r="B249" s="14" t="s">
        <v>127</v>
      </c>
      <c r="C249" s="14" t="s">
        <v>153</v>
      </c>
      <c r="D249" s="14" t="s">
        <v>128</v>
      </c>
      <c r="E249" s="14" t="s">
        <v>252</v>
      </c>
      <c r="F249" s="14" t="s">
        <v>177</v>
      </c>
      <c r="G249" s="14" t="n">
        <v>55044</v>
      </c>
      <c r="H249" s="14" t="s">
        <v>156</v>
      </c>
      <c r="I249" s="14" t="s">
        <v>137</v>
      </c>
      <c r="J249" s="14" t="s">
        <v>147</v>
      </c>
      <c r="K249" s="15" t="n">
        <v>1503.25</v>
      </c>
      <c r="L249" s="14" t="n">
        <v>5</v>
      </c>
      <c r="M249" s="16" t="n">
        <v>0</v>
      </c>
      <c r="N249" s="15" t="n">
        <v>496.0725</v>
      </c>
      <c r="O249" s="17" t="str">
        <f aca="false">UPPER(LEFT(F249,3))&amp;"-"&amp;G249</f>
        <v>MIN-55044</v>
      </c>
      <c r="P249" s="17" t="str">
        <f aca="false">PROPER(TRIM(E249))</f>
        <v>Lakeville</v>
      </c>
      <c r="Q249" s="17" t="str">
        <f aca="false">IFERROR(VLOOKUP(F249,Lookups!$A$2:$B$50,2,FALSE()),"Not found")</f>
        <v>Central</v>
      </c>
      <c r="R249" s="17" t="str">
        <f aca="false">IF(Q249=H249,"Match","Mismatch")</f>
        <v>Match</v>
      </c>
      <c r="S249" s="17" t="str">
        <f aca="false">IFERROR(INDEX(SubCatCat,MATCH(J249,SubCatName,0)),"Not found")</f>
        <v>Office Supplies</v>
      </c>
      <c r="T249" s="18" t="n">
        <f aca="false">IF(K249=0,0,N249/K249)</f>
        <v>0.33</v>
      </c>
      <c r="U249" s="17" t="str">
        <f aca="false">IF(N249&lt;0,"Loss",IF(T249&gt;=0.2,"High margin","Normal"))</f>
        <v>High margin</v>
      </c>
      <c r="V249" s="17" t="str">
        <f aca="false">IF(M249=0,"No discount",IF(M249&lt;=0.2,"Low",IF(M249&lt;=0.4,"Medium","High")))</f>
        <v>No discount</v>
      </c>
      <c r="W249" s="17" t="str">
        <f aca="false">IF(OR(B249="Same Day",B249="First Class"),"Fast","Standard")</f>
        <v>Standard</v>
      </c>
      <c r="X249" s="19" t="n">
        <f aca="false">ROUND(K249/L249,2)</f>
        <v>300.65</v>
      </c>
    </row>
    <row r="250" customFormat="false" ht="15" hidden="false" customHeight="false" outlineLevel="0" collapsed="false">
      <c r="A250" s="14" t="n">
        <v>249</v>
      </c>
      <c r="B250" s="14" t="s">
        <v>127</v>
      </c>
      <c r="C250" s="14" t="s">
        <v>153</v>
      </c>
      <c r="D250" s="14" t="s">
        <v>128</v>
      </c>
      <c r="E250" s="14" t="s">
        <v>252</v>
      </c>
      <c r="F250" s="14" t="s">
        <v>177</v>
      </c>
      <c r="G250" s="14" t="n">
        <v>55044</v>
      </c>
      <c r="H250" s="14" t="s">
        <v>156</v>
      </c>
      <c r="I250" s="14" t="s">
        <v>137</v>
      </c>
      <c r="J250" s="14" t="s">
        <v>150</v>
      </c>
      <c r="K250" s="15" t="n">
        <v>25.92</v>
      </c>
      <c r="L250" s="14" t="n">
        <v>4</v>
      </c>
      <c r="M250" s="16" t="n">
        <v>0</v>
      </c>
      <c r="N250" s="15" t="n">
        <v>12.4416</v>
      </c>
      <c r="O250" s="17" t="str">
        <f aca="false">UPPER(LEFT(F250,3))&amp;"-"&amp;G250</f>
        <v>MIN-55044</v>
      </c>
      <c r="P250" s="17" t="str">
        <f aca="false">PROPER(TRIM(E250))</f>
        <v>Lakeville</v>
      </c>
      <c r="Q250" s="17" t="str">
        <f aca="false">IFERROR(VLOOKUP(F250,Lookups!$A$2:$B$50,2,FALSE()),"Not found")</f>
        <v>Central</v>
      </c>
      <c r="R250" s="17" t="str">
        <f aca="false">IF(Q250=H250,"Match","Mismatch")</f>
        <v>Match</v>
      </c>
      <c r="S250" s="17" t="str">
        <f aca="false">IFERROR(INDEX(SubCatCat,MATCH(J250,SubCatName,0)),"Not found")</f>
        <v>Office Supplies</v>
      </c>
      <c r="T250" s="18" t="n">
        <f aca="false">IF(K250=0,0,N250/K250)</f>
        <v>0.48</v>
      </c>
      <c r="U250" s="17" t="str">
        <f aca="false">IF(N250&lt;0,"Loss",IF(T250&gt;=0.2,"High margin","Normal"))</f>
        <v>High margin</v>
      </c>
      <c r="V250" s="17" t="str">
        <f aca="false">IF(M250=0,"No discount",IF(M250&lt;=0.2,"Low",IF(M250&lt;=0.4,"Medium","High")))</f>
        <v>No discount</v>
      </c>
      <c r="W250" s="17" t="str">
        <f aca="false">IF(OR(B250="Same Day",B250="First Class"),"Fast","Standard")</f>
        <v>Standard</v>
      </c>
      <c r="X250" s="19" t="n">
        <f aca="false">ROUND(K250/L250,2)</f>
        <v>6.48</v>
      </c>
    </row>
    <row r="251" customFormat="false" ht="15" hidden="false" customHeight="false" outlineLevel="0" collapsed="false">
      <c r="A251" s="14" t="n">
        <v>250</v>
      </c>
      <c r="B251" s="14" t="s">
        <v>127</v>
      </c>
      <c r="C251" s="14" t="s">
        <v>7</v>
      </c>
      <c r="D251" s="14" t="s">
        <v>128</v>
      </c>
      <c r="E251" s="14" t="s">
        <v>161</v>
      </c>
      <c r="F251" s="14" t="s">
        <v>9</v>
      </c>
      <c r="G251" s="14" t="n">
        <v>94109</v>
      </c>
      <c r="H251" s="14" t="s">
        <v>3</v>
      </c>
      <c r="I251" s="14" t="s">
        <v>132</v>
      </c>
      <c r="J251" s="14" t="s">
        <v>134</v>
      </c>
      <c r="K251" s="15" t="n">
        <v>321.568</v>
      </c>
      <c r="L251" s="14" t="n">
        <v>2</v>
      </c>
      <c r="M251" s="16" t="n">
        <v>0.2</v>
      </c>
      <c r="N251" s="15" t="n">
        <v>28.1372</v>
      </c>
      <c r="O251" s="17" t="str">
        <f aca="false">UPPER(LEFT(F251,3))&amp;"-"&amp;G251</f>
        <v>CAL-94109</v>
      </c>
      <c r="P251" s="17" t="str">
        <f aca="false">PROPER(TRIM(E251))</f>
        <v>San Francisco</v>
      </c>
      <c r="Q251" s="17" t="str">
        <f aca="false">IFERROR(VLOOKUP(F251,Lookups!$A$2:$B$50,2,FALSE()),"Not found")</f>
        <v>West</v>
      </c>
      <c r="R251" s="17" t="str">
        <f aca="false">IF(Q251=H251,"Match","Mismatch")</f>
        <v>Match</v>
      </c>
      <c r="S251" s="17" t="str">
        <f aca="false">IFERROR(INDEX(SubCatCat,MATCH(J251,SubCatName,0)),"Not found")</f>
        <v>Furniture</v>
      </c>
      <c r="T251" s="18" t="n">
        <f aca="false">IF(K251=0,0,N251/K251)</f>
        <v>0.0875</v>
      </c>
      <c r="U251" s="17" t="str">
        <f aca="false">IF(N251&lt;0,"Loss",IF(T251&gt;=0.2,"High margin","Normal"))</f>
        <v>Normal</v>
      </c>
      <c r="V251" s="17" t="str">
        <f aca="false">IF(M251=0,"No discount",IF(M251&lt;=0.2,"Low",IF(M251&lt;=0.4,"Medium","High")))</f>
        <v>Low</v>
      </c>
      <c r="W251" s="17" t="str">
        <f aca="false">IF(OR(B251="Same Day",B251="First Class"),"Fast","Standard")</f>
        <v>Standard</v>
      </c>
      <c r="X251" s="19" t="n">
        <f aca="false">ROUND(K251/L251,2)</f>
        <v>160.78</v>
      </c>
    </row>
    <row r="252" customFormat="false" ht="15" hidden="false" customHeight="false" outlineLevel="0" collapsed="false">
      <c r="A252" s="14" t="n">
        <v>251</v>
      </c>
      <c r="B252" s="14" t="s">
        <v>139</v>
      </c>
      <c r="C252" s="14" t="s">
        <v>7</v>
      </c>
      <c r="D252" s="14" t="s">
        <v>128</v>
      </c>
      <c r="E252" s="14" t="s">
        <v>253</v>
      </c>
      <c r="F252" s="14" t="s">
        <v>9</v>
      </c>
      <c r="G252" s="14" t="n">
        <v>92037</v>
      </c>
      <c r="H252" s="14" t="s">
        <v>3</v>
      </c>
      <c r="I252" s="14" t="s">
        <v>137</v>
      </c>
      <c r="J252" s="14" t="s">
        <v>150</v>
      </c>
      <c r="K252" s="15" t="n">
        <v>7.61</v>
      </c>
      <c r="L252" s="14" t="n">
        <v>1</v>
      </c>
      <c r="M252" s="16" t="n">
        <v>0</v>
      </c>
      <c r="N252" s="15" t="n">
        <v>3.5767</v>
      </c>
      <c r="O252" s="17" t="str">
        <f aca="false">UPPER(LEFT(F252,3))&amp;"-"&amp;G252</f>
        <v>CAL-92037</v>
      </c>
      <c r="P252" s="17" t="str">
        <f aca="false">PROPER(TRIM(E252))</f>
        <v>San Diego</v>
      </c>
      <c r="Q252" s="17" t="str">
        <f aca="false">IFERROR(VLOOKUP(F252,Lookups!$A$2:$B$50,2,FALSE()),"Not found")</f>
        <v>West</v>
      </c>
      <c r="R252" s="17" t="str">
        <f aca="false">IF(Q252=H252,"Match","Mismatch")</f>
        <v>Match</v>
      </c>
      <c r="S252" s="17" t="str">
        <f aca="false">IFERROR(INDEX(SubCatCat,MATCH(J252,SubCatName,0)),"Not found")</f>
        <v>Office Supplies</v>
      </c>
      <c r="T252" s="18" t="n">
        <f aca="false">IF(K252=0,0,N252/K252)</f>
        <v>0.47</v>
      </c>
      <c r="U252" s="17" t="str">
        <f aca="false">IF(N252&lt;0,"Loss",IF(T252&gt;=0.2,"High margin","Normal"))</f>
        <v>High margin</v>
      </c>
      <c r="V252" s="17" t="str">
        <f aca="false">IF(M252=0,"No discount",IF(M252&lt;=0.2,"Low",IF(M252&lt;=0.4,"Medium","High")))</f>
        <v>No discount</v>
      </c>
      <c r="W252" s="17" t="str">
        <f aca="false">IF(OR(B252="Same Day",B252="First Class"),"Fast","Standard")</f>
        <v>Standard</v>
      </c>
      <c r="X252" s="19" t="n">
        <f aca="false">ROUND(K252/L252,2)</f>
        <v>7.61</v>
      </c>
    </row>
    <row r="253" customFormat="false" ht="15" hidden="false" customHeight="false" outlineLevel="0" collapsed="false">
      <c r="A253" s="14" t="n">
        <v>252</v>
      </c>
      <c r="B253" s="14" t="s">
        <v>139</v>
      </c>
      <c r="C253" s="14" t="s">
        <v>7</v>
      </c>
      <c r="D253" s="14" t="s">
        <v>128</v>
      </c>
      <c r="E253" s="14" t="s">
        <v>253</v>
      </c>
      <c r="F253" s="14" t="s">
        <v>9</v>
      </c>
      <c r="G253" s="14" t="n">
        <v>92037</v>
      </c>
      <c r="H253" s="14" t="s">
        <v>3</v>
      </c>
      <c r="I253" s="14" t="s">
        <v>5</v>
      </c>
      <c r="J253" s="14" t="s">
        <v>168</v>
      </c>
      <c r="K253" s="15" t="n">
        <v>3347.37</v>
      </c>
      <c r="L253" s="14" t="n">
        <v>13</v>
      </c>
      <c r="M253" s="16" t="n">
        <v>0</v>
      </c>
      <c r="N253" s="15" t="n">
        <v>636.0003</v>
      </c>
      <c r="O253" s="17" t="str">
        <f aca="false">UPPER(LEFT(F253,3))&amp;"-"&amp;G253</f>
        <v>CAL-92037</v>
      </c>
      <c r="P253" s="17" t="str">
        <f aca="false">PROPER(TRIM(E253))</f>
        <v>San Diego</v>
      </c>
      <c r="Q253" s="17" t="str">
        <f aca="false">IFERROR(VLOOKUP(F253,Lookups!$A$2:$B$50,2,FALSE()),"Not found")</f>
        <v>West</v>
      </c>
      <c r="R253" s="17" t="str">
        <f aca="false">IF(Q253=H253,"Match","Mismatch")</f>
        <v>Match</v>
      </c>
      <c r="S253" s="17" t="str">
        <f aca="false">IFERROR(INDEX(SubCatCat,MATCH(J253,SubCatName,0)),"Not found")</f>
        <v>Technology</v>
      </c>
      <c r="T253" s="18" t="n">
        <f aca="false">IF(K253=0,0,N253/K253)</f>
        <v>0.19</v>
      </c>
      <c r="U253" s="17" t="str">
        <f aca="false">IF(N253&lt;0,"Loss",IF(T253&gt;=0.2,"High margin","Normal"))</f>
        <v>Normal</v>
      </c>
      <c r="V253" s="17" t="str">
        <f aca="false">IF(M253=0,"No discount",IF(M253&lt;=0.2,"Low",IF(M253&lt;=0.4,"Medium","High")))</f>
        <v>No discount</v>
      </c>
      <c r="W253" s="17" t="str">
        <f aca="false">IF(OR(B253="Same Day",B253="First Class"),"Fast","Standard")</f>
        <v>Standard</v>
      </c>
      <c r="X253" s="19" t="n">
        <f aca="false">ROUND(K253/L253,2)</f>
        <v>257.49</v>
      </c>
    </row>
    <row r="254" customFormat="false" ht="15" hidden="false" customHeight="false" outlineLevel="0" collapsed="false">
      <c r="A254" s="14" t="n">
        <v>253</v>
      </c>
      <c r="B254" s="14" t="s">
        <v>171</v>
      </c>
      <c r="C254" s="14" t="s">
        <v>7</v>
      </c>
      <c r="D254" s="14" t="s">
        <v>128</v>
      </c>
      <c r="E254" s="14" t="s">
        <v>184</v>
      </c>
      <c r="F254" s="14" t="s">
        <v>185</v>
      </c>
      <c r="G254" s="14" t="n">
        <v>10024</v>
      </c>
      <c r="H254" s="14" t="s">
        <v>166</v>
      </c>
      <c r="I254" s="14" t="s">
        <v>137</v>
      </c>
      <c r="J254" s="14" t="s">
        <v>143</v>
      </c>
      <c r="K254" s="15" t="n">
        <v>80.58</v>
      </c>
      <c r="L254" s="14" t="n">
        <v>6</v>
      </c>
      <c r="M254" s="16" t="n">
        <v>0</v>
      </c>
      <c r="N254" s="15" t="n">
        <v>22.5624</v>
      </c>
      <c r="O254" s="17" t="str">
        <f aca="false">UPPER(LEFT(F254,3))&amp;"-"&amp;G254</f>
        <v>NEW-10024</v>
      </c>
      <c r="P254" s="17" t="str">
        <f aca="false">PROPER(TRIM(E254))</f>
        <v>New York City</v>
      </c>
      <c r="Q254" s="17" t="str">
        <f aca="false">IFERROR(VLOOKUP(F254,Lookups!$A$2:$B$50,2,FALSE()),"Not found")</f>
        <v>East</v>
      </c>
      <c r="R254" s="17" t="str">
        <f aca="false">IF(Q254=H254,"Match","Mismatch")</f>
        <v>Match</v>
      </c>
      <c r="S254" s="17" t="str">
        <f aca="false">IFERROR(INDEX(SubCatCat,MATCH(J254,SubCatName,0)),"Not found")</f>
        <v>Office Supplies</v>
      </c>
      <c r="T254" s="18" t="n">
        <f aca="false">IF(K254=0,0,N254/K254)</f>
        <v>0.28</v>
      </c>
      <c r="U254" s="17" t="str">
        <f aca="false">IF(N254&lt;0,"Loss",IF(T254&gt;=0.2,"High margin","Normal"))</f>
        <v>High margin</v>
      </c>
      <c r="V254" s="17" t="str">
        <f aca="false">IF(M254=0,"No discount",IF(M254&lt;=0.2,"Low",IF(M254&lt;=0.4,"Medium","High")))</f>
        <v>No discount</v>
      </c>
      <c r="W254" s="17" t="str">
        <f aca="false">IF(OR(B254="Same Day",B254="First Class"),"Fast","Standard")</f>
        <v>Fast</v>
      </c>
      <c r="X254" s="19" t="n">
        <f aca="false">ROUND(K254/L254,2)</f>
        <v>13.43</v>
      </c>
    </row>
    <row r="255" customFormat="false" ht="15" hidden="false" customHeight="false" outlineLevel="0" collapsed="false">
      <c r="A255" s="14" t="n">
        <v>254</v>
      </c>
      <c r="B255" s="14" t="s">
        <v>171</v>
      </c>
      <c r="C255" s="14" t="s">
        <v>7</v>
      </c>
      <c r="D255" s="14" t="s">
        <v>128</v>
      </c>
      <c r="E255" s="14" t="s">
        <v>184</v>
      </c>
      <c r="F255" s="14" t="s">
        <v>185</v>
      </c>
      <c r="G255" s="14" t="n">
        <v>10024</v>
      </c>
      <c r="H255" s="14" t="s">
        <v>166</v>
      </c>
      <c r="I255" s="14" t="s">
        <v>137</v>
      </c>
      <c r="J255" s="14" t="s">
        <v>169</v>
      </c>
      <c r="K255" s="15" t="n">
        <v>361.92</v>
      </c>
      <c r="L255" s="14" t="n">
        <v>4</v>
      </c>
      <c r="M255" s="16" t="n">
        <v>0</v>
      </c>
      <c r="N255" s="15" t="n">
        <v>162.864</v>
      </c>
      <c r="O255" s="17" t="str">
        <f aca="false">UPPER(LEFT(F255,3))&amp;"-"&amp;G255</f>
        <v>NEW-10024</v>
      </c>
      <c r="P255" s="17" t="str">
        <f aca="false">PROPER(TRIM(E255))</f>
        <v>New York City</v>
      </c>
      <c r="Q255" s="17" t="str">
        <f aca="false">IFERROR(VLOOKUP(F255,Lookups!$A$2:$B$50,2,FALSE()),"Not found")</f>
        <v>East</v>
      </c>
      <c r="R255" s="17" t="str">
        <f aca="false">IF(Q255=H255,"Match","Mismatch")</f>
        <v>Match</v>
      </c>
      <c r="S255" s="17" t="str">
        <f aca="false">IFERROR(INDEX(SubCatCat,MATCH(J255,SubCatName,0)),"Not found")</f>
        <v>Office Supplies</v>
      </c>
      <c r="T255" s="18" t="n">
        <f aca="false">IF(K255=0,0,N255/K255)</f>
        <v>0.45</v>
      </c>
      <c r="U255" s="17" t="str">
        <f aca="false">IF(N255&lt;0,"Loss",IF(T255&gt;=0.2,"High margin","Normal"))</f>
        <v>High margin</v>
      </c>
      <c r="V255" s="17" t="str">
        <f aca="false">IF(M255=0,"No discount",IF(M255&lt;=0.2,"Low",IF(M255&lt;=0.4,"Medium","High")))</f>
        <v>No discount</v>
      </c>
      <c r="W255" s="17" t="str">
        <f aca="false">IF(OR(B255="Same Day",B255="First Class"),"Fast","Standard")</f>
        <v>Fast</v>
      </c>
      <c r="X255" s="19" t="n">
        <f aca="false">ROUND(K255/L255,2)</f>
        <v>90.48</v>
      </c>
    </row>
    <row r="256" customFormat="false" ht="15" hidden="false" customHeight="false" outlineLevel="0" collapsed="false">
      <c r="A256" s="14" t="n">
        <v>255</v>
      </c>
      <c r="B256" s="14" t="s">
        <v>139</v>
      </c>
      <c r="C256" s="14" t="s">
        <v>135</v>
      </c>
      <c r="D256" s="14" t="s">
        <v>128</v>
      </c>
      <c r="E256" s="14" t="s">
        <v>188</v>
      </c>
      <c r="F256" s="14" t="s">
        <v>174</v>
      </c>
      <c r="G256" s="14" t="n">
        <v>60623</v>
      </c>
      <c r="H256" s="14" t="s">
        <v>156</v>
      </c>
      <c r="I256" s="14" t="s">
        <v>132</v>
      </c>
      <c r="J256" s="14" t="s">
        <v>144</v>
      </c>
      <c r="K256" s="15" t="n">
        <v>12.132</v>
      </c>
      <c r="L256" s="14" t="n">
        <v>9</v>
      </c>
      <c r="M256" s="16" t="n">
        <v>0.6</v>
      </c>
      <c r="N256" s="15" t="n">
        <v>-8.4924</v>
      </c>
      <c r="O256" s="17" t="str">
        <f aca="false">UPPER(LEFT(F256,3))&amp;"-"&amp;G256</f>
        <v>ILL-60623</v>
      </c>
      <c r="P256" s="17" t="str">
        <f aca="false">PROPER(TRIM(E256))</f>
        <v>Chicago</v>
      </c>
      <c r="Q256" s="17" t="str">
        <f aca="false">IFERROR(VLOOKUP(F256,Lookups!$A$2:$B$50,2,FALSE()),"Not found")</f>
        <v>Central</v>
      </c>
      <c r="R256" s="17" t="str">
        <f aca="false">IF(Q256=H256,"Match","Mismatch")</f>
        <v>Match</v>
      </c>
      <c r="S256" s="17" t="str">
        <f aca="false">IFERROR(INDEX(SubCatCat,MATCH(J256,SubCatName,0)),"Not found")</f>
        <v>Furniture</v>
      </c>
      <c r="T256" s="18" t="n">
        <f aca="false">IF(K256=0,0,N256/K256)</f>
        <v>-0.7</v>
      </c>
      <c r="U256" s="17" t="str">
        <f aca="false">IF(N256&lt;0,"Loss",IF(T256&gt;=0.2,"High margin","Normal"))</f>
        <v>Loss</v>
      </c>
      <c r="V256" s="17" t="str">
        <f aca="false">IF(M256=0,"No discount",IF(M256&lt;=0.2,"Low",IF(M256&lt;=0.4,"Medium","High")))</f>
        <v>High</v>
      </c>
      <c r="W256" s="17" t="str">
        <f aca="false">IF(OR(B256="Same Day",B256="First Class"),"Fast","Standard")</f>
        <v>Standard</v>
      </c>
      <c r="X256" s="19" t="n">
        <f aca="false">ROUND(K256/L256,2)</f>
        <v>1.35</v>
      </c>
    </row>
    <row r="257" customFormat="false" ht="15" hidden="false" customHeight="false" outlineLevel="0" collapsed="false">
      <c r="A257" s="14" t="n">
        <v>256</v>
      </c>
      <c r="B257" s="14" t="s">
        <v>139</v>
      </c>
      <c r="C257" s="14" t="s">
        <v>135</v>
      </c>
      <c r="D257" s="14" t="s">
        <v>128</v>
      </c>
      <c r="E257" s="14" t="s">
        <v>188</v>
      </c>
      <c r="F257" s="14" t="s">
        <v>174</v>
      </c>
      <c r="G257" s="14" t="n">
        <v>60623</v>
      </c>
      <c r="H257" s="14" t="s">
        <v>156</v>
      </c>
      <c r="I257" s="14" t="s">
        <v>137</v>
      </c>
      <c r="J257" s="14" t="s">
        <v>143</v>
      </c>
      <c r="K257" s="15" t="n">
        <v>82.368</v>
      </c>
      <c r="L257" s="14" t="n">
        <v>2</v>
      </c>
      <c r="M257" s="16" t="n">
        <v>0.2</v>
      </c>
      <c r="N257" s="15" t="n">
        <v>-19.5624</v>
      </c>
      <c r="O257" s="17" t="str">
        <f aca="false">UPPER(LEFT(F257,3))&amp;"-"&amp;G257</f>
        <v>ILL-60623</v>
      </c>
      <c r="P257" s="17" t="str">
        <f aca="false">PROPER(TRIM(E257))</f>
        <v>Chicago</v>
      </c>
      <c r="Q257" s="17" t="str">
        <f aca="false">IFERROR(VLOOKUP(F257,Lookups!$A$2:$B$50,2,FALSE()),"Not found")</f>
        <v>Central</v>
      </c>
      <c r="R257" s="17" t="str">
        <f aca="false">IF(Q257=H257,"Match","Mismatch")</f>
        <v>Match</v>
      </c>
      <c r="S257" s="17" t="str">
        <f aca="false">IFERROR(INDEX(SubCatCat,MATCH(J257,SubCatName,0)),"Not found")</f>
        <v>Office Supplies</v>
      </c>
      <c r="T257" s="18" t="n">
        <f aca="false">IF(K257=0,0,N257/K257)</f>
        <v>-0.2375</v>
      </c>
      <c r="U257" s="17" t="str">
        <f aca="false">IF(N257&lt;0,"Loss",IF(T257&gt;=0.2,"High margin","Normal"))</f>
        <v>Loss</v>
      </c>
      <c r="V257" s="17" t="str">
        <f aca="false">IF(M257=0,"No discount",IF(M257&lt;=0.2,"Low",IF(M257&lt;=0.4,"Medium","High")))</f>
        <v>Low</v>
      </c>
      <c r="W257" s="17" t="str">
        <f aca="false">IF(OR(B257="Same Day",B257="First Class"),"Fast","Standard")</f>
        <v>Standard</v>
      </c>
      <c r="X257" s="19" t="n">
        <f aca="false">ROUND(K257/L257,2)</f>
        <v>41.18</v>
      </c>
    </row>
    <row r="258" customFormat="false" ht="15" hidden="false" customHeight="false" outlineLevel="0" collapsed="false">
      <c r="A258" s="14" t="n">
        <v>257</v>
      </c>
      <c r="B258" s="14" t="s">
        <v>139</v>
      </c>
      <c r="C258" s="14" t="s">
        <v>135</v>
      </c>
      <c r="D258" s="14" t="s">
        <v>128</v>
      </c>
      <c r="E258" s="14" t="s">
        <v>188</v>
      </c>
      <c r="F258" s="14" t="s">
        <v>174</v>
      </c>
      <c r="G258" s="14" t="n">
        <v>60623</v>
      </c>
      <c r="H258" s="14" t="s">
        <v>156</v>
      </c>
      <c r="I258" s="14" t="s">
        <v>137</v>
      </c>
      <c r="J258" s="14" t="s">
        <v>143</v>
      </c>
      <c r="K258" s="15" t="n">
        <v>53.92</v>
      </c>
      <c r="L258" s="14" t="n">
        <v>5</v>
      </c>
      <c r="M258" s="16" t="n">
        <v>0.2</v>
      </c>
      <c r="N258" s="15" t="n">
        <v>4.044</v>
      </c>
      <c r="O258" s="17" t="str">
        <f aca="false">UPPER(LEFT(F258,3))&amp;"-"&amp;G258</f>
        <v>ILL-60623</v>
      </c>
      <c r="P258" s="17" t="str">
        <f aca="false">PROPER(TRIM(E258))</f>
        <v>Chicago</v>
      </c>
      <c r="Q258" s="17" t="str">
        <f aca="false">IFERROR(VLOOKUP(F258,Lookups!$A$2:$B$50,2,FALSE()),"Not found")</f>
        <v>Central</v>
      </c>
      <c r="R258" s="17" t="str">
        <f aca="false">IF(Q258=H258,"Match","Mismatch")</f>
        <v>Match</v>
      </c>
      <c r="S258" s="17" t="str">
        <f aca="false">IFERROR(INDEX(SubCatCat,MATCH(J258,SubCatName,0)),"Not found")</f>
        <v>Office Supplies</v>
      </c>
      <c r="T258" s="18" t="n">
        <f aca="false">IF(K258=0,0,N258/K258)</f>
        <v>0.075</v>
      </c>
      <c r="U258" s="17" t="str">
        <f aca="false">IF(N258&lt;0,"Loss",IF(T258&gt;=0.2,"High margin","Normal"))</f>
        <v>Normal</v>
      </c>
      <c r="V258" s="17" t="str">
        <f aca="false">IF(M258=0,"No discount",IF(M258&lt;=0.2,"Low",IF(M258&lt;=0.4,"Medium","High")))</f>
        <v>Low</v>
      </c>
      <c r="W258" s="17" t="str">
        <f aca="false">IF(OR(B258="Same Day",B258="First Class"),"Fast","Standard")</f>
        <v>Standard</v>
      </c>
      <c r="X258" s="19" t="n">
        <f aca="false">ROUND(K258/L258,2)</f>
        <v>10.78</v>
      </c>
    </row>
    <row r="259" customFormat="false" ht="15" hidden="false" customHeight="false" outlineLevel="0" collapsed="false">
      <c r="A259" s="14" t="n">
        <v>258</v>
      </c>
      <c r="B259" s="14" t="s">
        <v>139</v>
      </c>
      <c r="C259" s="14" t="s">
        <v>135</v>
      </c>
      <c r="D259" s="14" t="s">
        <v>128</v>
      </c>
      <c r="E259" s="14" t="s">
        <v>188</v>
      </c>
      <c r="F259" s="14" t="s">
        <v>174</v>
      </c>
      <c r="G259" s="14" t="n">
        <v>60623</v>
      </c>
      <c r="H259" s="14" t="s">
        <v>156</v>
      </c>
      <c r="I259" s="14" t="s">
        <v>5</v>
      </c>
      <c r="J259" s="14" t="s">
        <v>11</v>
      </c>
      <c r="K259" s="15" t="n">
        <v>647.904</v>
      </c>
      <c r="L259" s="14" t="n">
        <v>6</v>
      </c>
      <c r="M259" s="16" t="n">
        <v>0.2</v>
      </c>
      <c r="N259" s="15" t="n">
        <v>56.6916</v>
      </c>
      <c r="O259" s="17" t="str">
        <f aca="false">UPPER(LEFT(F259,3))&amp;"-"&amp;G259</f>
        <v>ILL-60623</v>
      </c>
      <c r="P259" s="17" t="str">
        <f aca="false">PROPER(TRIM(E259))</f>
        <v>Chicago</v>
      </c>
      <c r="Q259" s="17" t="str">
        <f aca="false">IFERROR(VLOOKUP(F259,Lookups!$A$2:$B$50,2,FALSE()),"Not found")</f>
        <v>Central</v>
      </c>
      <c r="R259" s="17" t="str">
        <f aca="false">IF(Q259=H259,"Match","Mismatch")</f>
        <v>Match</v>
      </c>
      <c r="S259" s="17" t="str">
        <f aca="false">IFERROR(INDEX(SubCatCat,MATCH(J259,SubCatName,0)),"Not found")</f>
        <v>Technology</v>
      </c>
      <c r="T259" s="18" t="n">
        <f aca="false">IF(K259=0,0,N259/K259)</f>
        <v>0.0875</v>
      </c>
      <c r="U259" s="17" t="str">
        <f aca="false">IF(N259&lt;0,"Loss",IF(T259&gt;=0.2,"High margin","Normal"))</f>
        <v>Normal</v>
      </c>
      <c r="V259" s="17" t="str">
        <f aca="false">IF(M259=0,"No discount",IF(M259&lt;=0.2,"Low",IF(M259&lt;=0.4,"Medium","High")))</f>
        <v>Low</v>
      </c>
      <c r="W259" s="17" t="str">
        <f aca="false">IF(OR(B259="Same Day",B259="First Class"),"Fast","Standard")</f>
        <v>Standard</v>
      </c>
      <c r="X259" s="19" t="n">
        <f aca="false">ROUND(K259/L259,2)</f>
        <v>107.98</v>
      </c>
    </row>
    <row r="260" customFormat="false" ht="15" hidden="false" customHeight="false" outlineLevel="0" collapsed="false">
      <c r="A260" s="14" t="n">
        <v>259</v>
      </c>
      <c r="B260" s="14" t="s">
        <v>127</v>
      </c>
      <c r="C260" s="14" t="s">
        <v>7</v>
      </c>
      <c r="D260" s="14" t="s">
        <v>128</v>
      </c>
      <c r="E260" s="14" t="s">
        <v>184</v>
      </c>
      <c r="F260" s="14" t="s">
        <v>185</v>
      </c>
      <c r="G260" s="14" t="n">
        <v>10009</v>
      </c>
      <c r="H260" s="14" t="s">
        <v>166</v>
      </c>
      <c r="I260" s="14" t="s">
        <v>5</v>
      </c>
      <c r="J260" s="14" t="s">
        <v>168</v>
      </c>
      <c r="K260" s="15" t="n">
        <v>20.37</v>
      </c>
      <c r="L260" s="14" t="n">
        <v>3</v>
      </c>
      <c r="M260" s="16" t="n">
        <v>0</v>
      </c>
      <c r="N260" s="15" t="n">
        <v>6.9258</v>
      </c>
      <c r="O260" s="17" t="str">
        <f aca="false">UPPER(LEFT(F260,3))&amp;"-"&amp;G260</f>
        <v>NEW-10009</v>
      </c>
      <c r="P260" s="17" t="str">
        <f aca="false">PROPER(TRIM(E260))</f>
        <v>New York City</v>
      </c>
      <c r="Q260" s="17" t="str">
        <f aca="false">IFERROR(VLOOKUP(F260,Lookups!$A$2:$B$50,2,FALSE()),"Not found")</f>
        <v>East</v>
      </c>
      <c r="R260" s="17" t="str">
        <f aca="false">IF(Q260=H260,"Match","Mismatch")</f>
        <v>Match</v>
      </c>
      <c r="S260" s="17" t="str">
        <f aca="false">IFERROR(INDEX(SubCatCat,MATCH(J260,SubCatName,0)),"Not found")</f>
        <v>Technology</v>
      </c>
      <c r="T260" s="18" t="n">
        <f aca="false">IF(K260=0,0,N260/K260)</f>
        <v>0.34</v>
      </c>
      <c r="U260" s="17" t="str">
        <f aca="false">IF(N260&lt;0,"Loss",IF(T260&gt;=0.2,"High margin","Normal"))</f>
        <v>High margin</v>
      </c>
      <c r="V260" s="17" t="str">
        <f aca="false">IF(M260=0,"No discount",IF(M260&lt;=0.2,"Low",IF(M260&lt;=0.4,"Medium","High")))</f>
        <v>No discount</v>
      </c>
      <c r="W260" s="17" t="str">
        <f aca="false">IF(OR(B260="Same Day",B260="First Class"),"Fast","Standard")</f>
        <v>Standard</v>
      </c>
      <c r="X260" s="19" t="n">
        <f aca="false">ROUND(K260/L260,2)</f>
        <v>6.79</v>
      </c>
    </row>
    <row r="261" customFormat="false" ht="15" hidden="false" customHeight="false" outlineLevel="0" collapsed="false">
      <c r="A261" s="14" t="n">
        <v>260</v>
      </c>
      <c r="B261" s="14" t="s">
        <v>127</v>
      </c>
      <c r="C261" s="14" t="s">
        <v>7</v>
      </c>
      <c r="D261" s="14" t="s">
        <v>128</v>
      </c>
      <c r="E261" s="14" t="s">
        <v>184</v>
      </c>
      <c r="F261" s="14" t="s">
        <v>185</v>
      </c>
      <c r="G261" s="14" t="n">
        <v>10009</v>
      </c>
      <c r="H261" s="14" t="s">
        <v>166</v>
      </c>
      <c r="I261" s="14" t="s">
        <v>137</v>
      </c>
      <c r="J261" s="14" t="s">
        <v>143</v>
      </c>
      <c r="K261" s="15" t="n">
        <v>221.55</v>
      </c>
      <c r="L261" s="14" t="n">
        <v>3</v>
      </c>
      <c r="M261" s="16" t="n">
        <v>0</v>
      </c>
      <c r="N261" s="15" t="n">
        <v>6.6465</v>
      </c>
      <c r="O261" s="17" t="str">
        <f aca="false">UPPER(LEFT(F261,3))&amp;"-"&amp;G261</f>
        <v>NEW-10009</v>
      </c>
      <c r="P261" s="17" t="str">
        <f aca="false">PROPER(TRIM(E261))</f>
        <v>New York City</v>
      </c>
      <c r="Q261" s="17" t="str">
        <f aca="false">IFERROR(VLOOKUP(F261,Lookups!$A$2:$B$50,2,FALSE()),"Not found")</f>
        <v>East</v>
      </c>
      <c r="R261" s="17" t="str">
        <f aca="false">IF(Q261=H261,"Match","Mismatch")</f>
        <v>Match</v>
      </c>
      <c r="S261" s="17" t="str">
        <f aca="false">IFERROR(INDEX(SubCatCat,MATCH(J261,SubCatName,0)),"Not found")</f>
        <v>Office Supplies</v>
      </c>
      <c r="T261" s="18" t="n">
        <f aca="false">IF(K261=0,0,N261/K261)</f>
        <v>0.03</v>
      </c>
      <c r="U261" s="17" t="str">
        <f aca="false">IF(N261&lt;0,"Loss",IF(T261&gt;=0.2,"High margin","Normal"))</f>
        <v>Normal</v>
      </c>
      <c r="V261" s="17" t="str">
        <f aca="false">IF(M261=0,"No discount",IF(M261&lt;=0.2,"Low",IF(M261&lt;=0.4,"Medium","High")))</f>
        <v>No discount</v>
      </c>
      <c r="W261" s="17" t="str">
        <f aca="false">IF(OR(B261="Same Day",B261="First Class"),"Fast","Standard")</f>
        <v>Standard</v>
      </c>
      <c r="X261" s="19" t="n">
        <f aca="false">ROUND(K261/L261,2)</f>
        <v>73.85</v>
      </c>
    </row>
    <row r="262" customFormat="false" ht="15" hidden="false" customHeight="false" outlineLevel="0" collapsed="false">
      <c r="A262" s="14" t="n">
        <v>261</v>
      </c>
      <c r="B262" s="14" t="s">
        <v>127</v>
      </c>
      <c r="C262" s="14" t="s">
        <v>7</v>
      </c>
      <c r="D262" s="14" t="s">
        <v>128</v>
      </c>
      <c r="E262" s="14" t="s">
        <v>184</v>
      </c>
      <c r="F262" s="14" t="s">
        <v>185</v>
      </c>
      <c r="G262" s="14" t="n">
        <v>10009</v>
      </c>
      <c r="H262" s="14" t="s">
        <v>166</v>
      </c>
      <c r="I262" s="14" t="s">
        <v>137</v>
      </c>
      <c r="J262" s="14" t="s">
        <v>146</v>
      </c>
      <c r="K262" s="15" t="n">
        <v>17.52</v>
      </c>
      <c r="L262" s="14" t="n">
        <v>5</v>
      </c>
      <c r="M262" s="16" t="n">
        <v>0.2</v>
      </c>
      <c r="N262" s="15" t="n">
        <v>6.132</v>
      </c>
      <c r="O262" s="17" t="str">
        <f aca="false">UPPER(LEFT(F262,3))&amp;"-"&amp;G262</f>
        <v>NEW-10009</v>
      </c>
      <c r="P262" s="17" t="str">
        <f aca="false">PROPER(TRIM(E262))</f>
        <v>New York City</v>
      </c>
      <c r="Q262" s="17" t="str">
        <f aca="false">IFERROR(VLOOKUP(F262,Lookups!$A$2:$B$50,2,FALSE()),"Not found")</f>
        <v>East</v>
      </c>
      <c r="R262" s="17" t="str">
        <f aca="false">IF(Q262=H262,"Match","Mismatch")</f>
        <v>Match</v>
      </c>
      <c r="S262" s="17" t="str">
        <f aca="false">IFERROR(INDEX(SubCatCat,MATCH(J262,SubCatName,0)),"Not found")</f>
        <v>Office Supplies</v>
      </c>
      <c r="T262" s="18" t="n">
        <f aca="false">IF(K262=0,0,N262/K262)</f>
        <v>0.35</v>
      </c>
      <c r="U262" s="17" t="str">
        <f aca="false">IF(N262&lt;0,"Loss",IF(T262&gt;=0.2,"High margin","Normal"))</f>
        <v>High margin</v>
      </c>
      <c r="V262" s="17" t="str">
        <f aca="false">IF(M262=0,"No discount",IF(M262&lt;=0.2,"Low",IF(M262&lt;=0.4,"Medium","High")))</f>
        <v>Low</v>
      </c>
      <c r="W262" s="17" t="str">
        <f aca="false">IF(OR(B262="Same Day",B262="First Class"),"Fast","Standard")</f>
        <v>Standard</v>
      </c>
      <c r="X262" s="19" t="n">
        <f aca="false">ROUND(K262/L262,2)</f>
        <v>3.5</v>
      </c>
    </row>
    <row r="263" customFormat="false" ht="15" hidden="false" customHeight="false" outlineLevel="0" collapsed="false">
      <c r="A263" s="14" t="n">
        <v>262</v>
      </c>
      <c r="B263" s="14" t="s">
        <v>139</v>
      </c>
      <c r="C263" s="14" t="s">
        <v>135</v>
      </c>
      <c r="D263" s="14" t="s">
        <v>128</v>
      </c>
      <c r="E263" s="14" t="s">
        <v>222</v>
      </c>
      <c r="F263" s="14" t="s">
        <v>155</v>
      </c>
      <c r="G263" s="14" t="n">
        <v>77506</v>
      </c>
      <c r="H263" s="14" t="s">
        <v>156</v>
      </c>
      <c r="I263" s="14" t="s">
        <v>137</v>
      </c>
      <c r="J263" s="14" t="s">
        <v>147</v>
      </c>
      <c r="K263" s="15" t="n">
        <v>1.624</v>
      </c>
      <c r="L263" s="14" t="n">
        <v>2</v>
      </c>
      <c r="M263" s="16" t="n">
        <v>0.8</v>
      </c>
      <c r="N263" s="15" t="n">
        <v>-4.466</v>
      </c>
      <c r="O263" s="17" t="str">
        <f aca="false">UPPER(LEFT(F263,3))&amp;"-"&amp;G263</f>
        <v>TEX-77506</v>
      </c>
      <c r="P263" s="17" t="str">
        <f aca="false">PROPER(TRIM(E263))</f>
        <v>Pasadena</v>
      </c>
      <c r="Q263" s="17" t="str">
        <f aca="false">IFERROR(VLOOKUP(F263,Lookups!$A$2:$B$50,2,FALSE()),"Not found")</f>
        <v>Central</v>
      </c>
      <c r="R263" s="17" t="str">
        <f aca="false">IF(Q263=H263,"Match","Mismatch")</f>
        <v>Match</v>
      </c>
      <c r="S263" s="17" t="str">
        <f aca="false">IFERROR(INDEX(SubCatCat,MATCH(J263,SubCatName,0)),"Not found")</f>
        <v>Office Supplies</v>
      </c>
      <c r="T263" s="18" t="n">
        <f aca="false">IF(K263=0,0,N263/K263)</f>
        <v>-2.75</v>
      </c>
      <c r="U263" s="17" t="str">
        <f aca="false">IF(N263&lt;0,"Loss",IF(T263&gt;=0.2,"High margin","Normal"))</f>
        <v>Loss</v>
      </c>
      <c r="V263" s="17" t="str">
        <f aca="false">IF(M263=0,"No discount",IF(M263&lt;=0.2,"Low",IF(M263&lt;=0.4,"Medium","High")))</f>
        <v>High</v>
      </c>
      <c r="W263" s="17" t="str">
        <f aca="false">IF(OR(B263="Same Day",B263="First Class"),"Fast","Standard")</f>
        <v>Standard</v>
      </c>
      <c r="X263" s="19" t="n">
        <f aca="false">ROUND(K263/L263,2)</f>
        <v>0.81</v>
      </c>
    </row>
    <row r="264" customFormat="false" ht="15" hidden="false" customHeight="false" outlineLevel="0" collapsed="false">
      <c r="A264" s="14" t="n">
        <v>263</v>
      </c>
      <c r="B264" s="14" t="s">
        <v>127</v>
      </c>
      <c r="C264" s="14" t="s">
        <v>135</v>
      </c>
      <c r="D264" s="14" t="s">
        <v>128</v>
      </c>
      <c r="E264" s="14" t="s">
        <v>170</v>
      </c>
      <c r="F264" s="14" t="s">
        <v>155</v>
      </c>
      <c r="G264" s="14" t="n">
        <v>77036</v>
      </c>
      <c r="H264" s="14" t="s">
        <v>156</v>
      </c>
      <c r="I264" s="14" t="s">
        <v>5</v>
      </c>
      <c r="J264" s="14" t="s">
        <v>232</v>
      </c>
      <c r="K264" s="15" t="n">
        <v>3059.982</v>
      </c>
      <c r="L264" s="14" t="n">
        <v>3</v>
      </c>
      <c r="M264" s="16" t="n">
        <v>0.4</v>
      </c>
      <c r="N264" s="15" t="n">
        <v>-509.997</v>
      </c>
      <c r="O264" s="17" t="str">
        <f aca="false">UPPER(LEFT(F264,3))&amp;"-"&amp;G264</f>
        <v>TEX-77036</v>
      </c>
      <c r="P264" s="17" t="str">
        <f aca="false">PROPER(TRIM(E264))</f>
        <v>Houston</v>
      </c>
      <c r="Q264" s="17" t="str">
        <f aca="false">IFERROR(VLOOKUP(F264,Lookups!$A$2:$B$50,2,FALSE()),"Not found")</f>
        <v>Central</v>
      </c>
      <c r="R264" s="17" t="str">
        <f aca="false">IF(Q264=H264,"Match","Mismatch")</f>
        <v>Match</v>
      </c>
      <c r="S264" s="17" t="str">
        <f aca="false">IFERROR(INDEX(SubCatCat,MATCH(J264,SubCatName,0)),"Not found")</f>
        <v>Technology</v>
      </c>
      <c r="T264" s="18" t="n">
        <f aca="false">IF(K264=0,0,N264/K264)</f>
        <v>-0.166666666666667</v>
      </c>
      <c r="U264" s="17" t="str">
        <f aca="false">IF(N264&lt;0,"Loss",IF(T264&gt;=0.2,"High margin","Normal"))</f>
        <v>Loss</v>
      </c>
      <c r="V264" s="17" t="str">
        <f aca="false">IF(M264=0,"No discount",IF(M264&lt;=0.2,"Low",IF(M264&lt;=0.4,"Medium","High")))</f>
        <v>Medium</v>
      </c>
      <c r="W264" s="17" t="str">
        <f aca="false">IF(OR(B264="Same Day",B264="First Class"),"Fast","Standard")</f>
        <v>Standard</v>
      </c>
      <c r="X264" s="19" t="n">
        <f aca="false">ROUND(K264/L264,2)</f>
        <v>1019.99</v>
      </c>
    </row>
    <row r="265" customFormat="false" ht="15" hidden="false" customHeight="false" outlineLevel="0" collapsed="false">
      <c r="A265" s="14" t="n">
        <v>264</v>
      </c>
      <c r="B265" s="14" t="s">
        <v>127</v>
      </c>
      <c r="C265" s="14" t="s">
        <v>135</v>
      </c>
      <c r="D265" s="14" t="s">
        <v>128</v>
      </c>
      <c r="E265" s="14" t="s">
        <v>170</v>
      </c>
      <c r="F265" s="14" t="s">
        <v>155</v>
      </c>
      <c r="G265" s="14" t="n">
        <v>77036</v>
      </c>
      <c r="H265" s="14" t="s">
        <v>156</v>
      </c>
      <c r="I265" s="14" t="s">
        <v>5</v>
      </c>
      <c r="J265" s="14" t="s">
        <v>232</v>
      </c>
      <c r="K265" s="15" t="n">
        <v>2519.958</v>
      </c>
      <c r="L265" s="14" t="n">
        <v>7</v>
      </c>
      <c r="M265" s="16" t="n">
        <v>0.4</v>
      </c>
      <c r="N265" s="15" t="n">
        <v>-251.9958</v>
      </c>
      <c r="O265" s="17" t="str">
        <f aca="false">UPPER(LEFT(F265,3))&amp;"-"&amp;G265</f>
        <v>TEX-77036</v>
      </c>
      <c r="P265" s="17" t="str">
        <f aca="false">PROPER(TRIM(E265))</f>
        <v>Houston</v>
      </c>
      <c r="Q265" s="17" t="str">
        <f aca="false">IFERROR(VLOOKUP(F265,Lookups!$A$2:$B$50,2,FALSE()),"Not found")</f>
        <v>Central</v>
      </c>
      <c r="R265" s="17" t="str">
        <f aca="false">IF(Q265=H265,"Match","Mismatch")</f>
        <v>Match</v>
      </c>
      <c r="S265" s="17" t="str">
        <f aca="false">IFERROR(INDEX(SubCatCat,MATCH(J265,SubCatName,0)),"Not found")</f>
        <v>Technology</v>
      </c>
      <c r="T265" s="18" t="n">
        <f aca="false">IF(K265=0,0,N265/K265)</f>
        <v>-0.1</v>
      </c>
      <c r="U265" s="17" t="str">
        <f aca="false">IF(N265&lt;0,"Loss",IF(T265&gt;=0.2,"High margin","Normal"))</f>
        <v>Loss</v>
      </c>
      <c r="V265" s="17" t="str">
        <f aca="false">IF(M265=0,"No discount",IF(M265&lt;=0.2,"Low",IF(M265&lt;=0.4,"Medium","High")))</f>
        <v>Medium</v>
      </c>
      <c r="W265" s="17" t="str">
        <f aca="false">IF(OR(B265="Same Day",B265="First Class"),"Fast","Standard")</f>
        <v>Standard</v>
      </c>
      <c r="X265" s="19" t="n">
        <f aca="false">ROUND(K265/L265,2)</f>
        <v>359.99</v>
      </c>
    </row>
    <row r="266" customFormat="false" ht="15" hidden="false" customHeight="false" outlineLevel="0" collapsed="false">
      <c r="A266" s="14" t="n">
        <v>265</v>
      </c>
      <c r="B266" s="14" t="s">
        <v>139</v>
      </c>
      <c r="C266" s="14" t="s">
        <v>7</v>
      </c>
      <c r="D266" s="14" t="s">
        <v>128</v>
      </c>
      <c r="E266" s="14" t="s">
        <v>188</v>
      </c>
      <c r="F266" s="14" t="s">
        <v>174</v>
      </c>
      <c r="G266" s="14" t="n">
        <v>60610</v>
      </c>
      <c r="H266" s="14" t="s">
        <v>156</v>
      </c>
      <c r="I266" s="14" t="s">
        <v>5</v>
      </c>
      <c r="J266" s="14" t="s">
        <v>11</v>
      </c>
      <c r="K266" s="15" t="n">
        <v>328.224</v>
      </c>
      <c r="L266" s="14" t="n">
        <v>4</v>
      </c>
      <c r="M266" s="16" t="n">
        <v>0.2</v>
      </c>
      <c r="N266" s="15" t="n">
        <v>28.7196</v>
      </c>
      <c r="O266" s="17" t="str">
        <f aca="false">UPPER(LEFT(F266,3))&amp;"-"&amp;G266</f>
        <v>ILL-60610</v>
      </c>
      <c r="P266" s="17" t="str">
        <f aca="false">PROPER(TRIM(E266))</f>
        <v>Chicago</v>
      </c>
      <c r="Q266" s="17" t="str">
        <f aca="false">IFERROR(VLOOKUP(F266,Lookups!$A$2:$B$50,2,FALSE()),"Not found")</f>
        <v>Central</v>
      </c>
      <c r="R266" s="17" t="str">
        <f aca="false">IF(Q266=H266,"Match","Mismatch")</f>
        <v>Match</v>
      </c>
      <c r="S266" s="17" t="str">
        <f aca="false">IFERROR(INDEX(SubCatCat,MATCH(J266,SubCatName,0)),"Not found")</f>
        <v>Technology</v>
      </c>
      <c r="T266" s="18" t="n">
        <f aca="false">IF(K266=0,0,N266/K266)</f>
        <v>0.0875</v>
      </c>
      <c r="U266" s="17" t="str">
        <f aca="false">IF(N266&lt;0,"Loss",IF(T266&gt;=0.2,"High margin","Normal"))</f>
        <v>Normal</v>
      </c>
      <c r="V266" s="17" t="str">
        <f aca="false">IF(M266=0,"No discount",IF(M266&lt;=0.2,"Low",IF(M266&lt;=0.4,"Medium","High")))</f>
        <v>Low</v>
      </c>
      <c r="W266" s="17" t="str">
        <f aca="false">IF(OR(B266="Same Day",B266="First Class"),"Fast","Standard")</f>
        <v>Standard</v>
      </c>
      <c r="X266" s="19" t="n">
        <f aca="false">ROUND(K266/L266,2)</f>
        <v>82.06</v>
      </c>
    </row>
    <row r="267" customFormat="false" ht="15" hidden="false" customHeight="false" outlineLevel="0" collapsed="false">
      <c r="A267" s="14" t="n">
        <v>266</v>
      </c>
      <c r="B267" s="14" t="s">
        <v>139</v>
      </c>
      <c r="C267" s="14" t="s">
        <v>7</v>
      </c>
      <c r="D267" s="14" t="s">
        <v>128</v>
      </c>
      <c r="E267" s="14" t="s">
        <v>254</v>
      </c>
      <c r="F267" s="14" t="s">
        <v>9</v>
      </c>
      <c r="G267" s="14" t="n">
        <v>94513</v>
      </c>
      <c r="H267" s="14" t="s">
        <v>3</v>
      </c>
      <c r="I267" s="14" t="s">
        <v>5</v>
      </c>
      <c r="J267" s="14" t="s">
        <v>168</v>
      </c>
      <c r="K267" s="15" t="n">
        <v>79.9</v>
      </c>
      <c r="L267" s="14" t="n">
        <v>2</v>
      </c>
      <c r="M267" s="16" t="n">
        <v>0</v>
      </c>
      <c r="N267" s="15" t="n">
        <v>35.156</v>
      </c>
      <c r="O267" s="17" t="str">
        <f aca="false">UPPER(LEFT(F267,3))&amp;"-"&amp;G267</f>
        <v>CAL-94513</v>
      </c>
      <c r="P267" s="17" t="str">
        <f aca="false">PROPER(TRIM(E267))</f>
        <v>Brentwood</v>
      </c>
      <c r="Q267" s="17" t="str">
        <f aca="false">IFERROR(VLOOKUP(F267,Lookups!$A$2:$B$50,2,FALSE()),"Not found")</f>
        <v>West</v>
      </c>
      <c r="R267" s="17" t="str">
        <f aca="false">IF(Q267=H267,"Match","Mismatch")</f>
        <v>Match</v>
      </c>
      <c r="S267" s="17" t="str">
        <f aca="false">IFERROR(INDEX(SubCatCat,MATCH(J267,SubCatName,0)),"Not found")</f>
        <v>Technology</v>
      </c>
      <c r="T267" s="18" t="n">
        <f aca="false">IF(K267=0,0,N267/K267)</f>
        <v>0.44</v>
      </c>
      <c r="U267" s="17" t="str">
        <f aca="false">IF(N267&lt;0,"Loss",IF(T267&gt;=0.2,"High margin","Normal"))</f>
        <v>High margin</v>
      </c>
      <c r="V267" s="17" t="str">
        <f aca="false">IF(M267=0,"No discount",IF(M267&lt;=0.2,"Low",IF(M267&lt;=0.4,"Medium","High")))</f>
        <v>No discount</v>
      </c>
      <c r="W267" s="17" t="str">
        <f aca="false">IF(OR(B267="Same Day",B267="First Class"),"Fast","Standard")</f>
        <v>Standard</v>
      </c>
      <c r="X267" s="19" t="n">
        <f aca="false">ROUND(K267/L267,2)</f>
        <v>39.95</v>
      </c>
    </row>
    <row r="268" customFormat="false" ht="15" hidden="false" customHeight="false" outlineLevel="0" collapsed="false">
      <c r="A268" s="14" t="n">
        <v>267</v>
      </c>
      <c r="B268" s="14" t="s">
        <v>139</v>
      </c>
      <c r="C268" s="14" t="s">
        <v>135</v>
      </c>
      <c r="D268" s="14" t="s">
        <v>128</v>
      </c>
      <c r="E268" s="14" t="s">
        <v>255</v>
      </c>
      <c r="F268" s="14" t="s">
        <v>149</v>
      </c>
      <c r="G268" s="14" t="n">
        <v>27514</v>
      </c>
      <c r="H268" s="14" t="s">
        <v>131</v>
      </c>
      <c r="I268" s="14" t="s">
        <v>137</v>
      </c>
      <c r="J268" s="14" t="s">
        <v>145</v>
      </c>
      <c r="K268" s="15" t="n">
        <v>14.016</v>
      </c>
      <c r="L268" s="14" t="n">
        <v>3</v>
      </c>
      <c r="M268" s="16" t="n">
        <v>0.2</v>
      </c>
      <c r="N268" s="15" t="n">
        <v>4.7304</v>
      </c>
      <c r="O268" s="17" t="str">
        <f aca="false">UPPER(LEFT(F268,3))&amp;"-"&amp;G268</f>
        <v>NOR-27514</v>
      </c>
      <c r="P268" s="17" t="str">
        <f aca="false">PROPER(TRIM(E268))</f>
        <v>Chapel Hill</v>
      </c>
      <c r="Q268" s="17" t="str">
        <f aca="false">IFERROR(VLOOKUP(F268,Lookups!$A$2:$B$50,2,FALSE()),"Not found")</f>
        <v>South</v>
      </c>
      <c r="R268" s="17" t="str">
        <f aca="false">IF(Q268=H268,"Match","Mismatch")</f>
        <v>Match</v>
      </c>
      <c r="S268" s="17" t="str">
        <f aca="false">IFERROR(INDEX(SubCatCat,MATCH(J268,SubCatName,0)),"Not found")</f>
        <v>Office Supplies</v>
      </c>
      <c r="T268" s="18" t="n">
        <f aca="false">IF(K268=0,0,N268/K268)</f>
        <v>0.3375</v>
      </c>
      <c r="U268" s="17" t="str">
        <f aca="false">IF(N268&lt;0,"Loss",IF(T268&gt;=0.2,"High margin","Normal"))</f>
        <v>High margin</v>
      </c>
      <c r="V268" s="17" t="str">
        <f aca="false">IF(M268=0,"No discount",IF(M268&lt;=0.2,"Low",IF(M268&lt;=0.4,"Medium","High")))</f>
        <v>Low</v>
      </c>
      <c r="W268" s="17" t="str">
        <f aca="false">IF(OR(B268="Same Day",B268="First Class"),"Fast","Standard")</f>
        <v>Standard</v>
      </c>
      <c r="X268" s="19" t="n">
        <f aca="false">ROUND(K268/L268,2)</f>
        <v>4.67</v>
      </c>
    </row>
    <row r="269" customFormat="false" ht="15" hidden="false" customHeight="false" outlineLevel="0" collapsed="false">
      <c r="A269" s="14" t="n">
        <v>268</v>
      </c>
      <c r="B269" s="14" t="s">
        <v>139</v>
      </c>
      <c r="C269" s="14" t="s">
        <v>7</v>
      </c>
      <c r="D269" s="14" t="s">
        <v>128</v>
      </c>
      <c r="E269" s="14" t="s">
        <v>256</v>
      </c>
      <c r="F269" s="14" t="s">
        <v>241</v>
      </c>
      <c r="G269" s="14" t="n">
        <v>7960</v>
      </c>
      <c r="H269" s="14" t="s">
        <v>166</v>
      </c>
      <c r="I269" s="14" t="s">
        <v>137</v>
      </c>
      <c r="J269" s="14" t="s">
        <v>186</v>
      </c>
      <c r="K269" s="15" t="n">
        <v>7.56</v>
      </c>
      <c r="L269" s="14" t="n">
        <v>6</v>
      </c>
      <c r="M269" s="16" t="n">
        <v>0</v>
      </c>
      <c r="N269" s="15" t="n">
        <v>0.3024</v>
      </c>
      <c r="O269" s="17" t="str">
        <f aca="false">UPPER(LEFT(F269,3))&amp;"-"&amp;G269</f>
        <v>NEW-7960</v>
      </c>
      <c r="P269" s="17" t="str">
        <f aca="false">PROPER(TRIM(E269))</f>
        <v>Morristown</v>
      </c>
      <c r="Q269" s="17" t="str">
        <f aca="false">IFERROR(VLOOKUP(F269,Lookups!$A$2:$B$50,2,FALSE()),"Not found")</f>
        <v>East</v>
      </c>
      <c r="R269" s="17" t="str">
        <f aca="false">IF(Q269=H269,"Match","Mismatch")</f>
        <v>Match</v>
      </c>
      <c r="S269" s="17" t="str">
        <f aca="false">IFERROR(INDEX(SubCatCat,MATCH(J269,SubCatName,0)),"Not found")</f>
        <v>Office Supplies</v>
      </c>
      <c r="T269" s="18" t="n">
        <f aca="false">IF(K269=0,0,N269/K269)</f>
        <v>0.04</v>
      </c>
      <c r="U269" s="17" t="str">
        <f aca="false">IF(N269&lt;0,"Loss",IF(T269&gt;=0.2,"High margin","Normal"))</f>
        <v>Normal</v>
      </c>
      <c r="V269" s="17" t="str">
        <f aca="false">IF(M269=0,"No discount",IF(M269&lt;=0.2,"Low",IF(M269&lt;=0.4,"Medium","High")))</f>
        <v>No discount</v>
      </c>
      <c r="W269" s="17" t="str">
        <f aca="false">IF(OR(B269="Same Day",B269="First Class"),"Fast","Standard")</f>
        <v>Standard</v>
      </c>
      <c r="X269" s="19" t="n">
        <f aca="false">ROUND(K269/L269,2)</f>
        <v>1.26</v>
      </c>
    </row>
    <row r="270" customFormat="false" ht="15" hidden="false" customHeight="false" outlineLevel="0" collapsed="false">
      <c r="A270" s="14" t="n">
        <v>269</v>
      </c>
      <c r="B270" s="14" t="s">
        <v>139</v>
      </c>
      <c r="C270" s="14" t="s">
        <v>135</v>
      </c>
      <c r="D270" s="14" t="s">
        <v>128</v>
      </c>
      <c r="E270" s="14" t="s">
        <v>257</v>
      </c>
      <c r="F270" s="14" t="s">
        <v>213</v>
      </c>
      <c r="G270" s="14" t="n">
        <v>45231</v>
      </c>
      <c r="H270" s="14" t="s">
        <v>166</v>
      </c>
      <c r="I270" s="14" t="s">
        <v>137</v>
      </c>
      <c r="J270" s="14" t="s">
        <v>143</v>
      </c>
      <c r="K270" s="15" t="n">
        <v>37.208</v>
      </c>
      <c r="L270" s="14" t="n">
        <v>1</v>
      </c>
      <c r="M270" s="16" t="n">
        <v>0.2</v>
      </c>
      <c r="N270" s="15" t="n">
        <v>-7.4416</v>
      </c>
      <c r="O270" s="17" t="str">
        <f aca="false">UPPER(LEFT(F270,3))&amp;"-"&amp;G270</f>
        <v>OHI-45231</v>
      </c>
      <c r="P270" s="17" t="str">
        <f aca="false">PROPER(TRIM(E270))</f>
        <v>Cincinnati</v>
      </c>
      <c r="Q270" s="17" t="str">
        <f aca="false">IFERROR(VLOOKUP(F270,Lookups!$A$2:$B$50,2,FALSE()),"Not found")</f>
        <v>East</v>
      </c>
      <c r="R270" s="17" t="str">
        <f aca="false">IF(Q270=H270,"Match","Mismatch")</f>
        <v>Match</v>
      </c>
      <c r="S270" s="17" t="str">
        <f aca="false">IFERROR(INDEX(SubCatCat,MATCH(J270,SubCatName,0)),"Not found")</f>
        <v>Office Supplies</v>
      </c>
      <c r="T270" s="18" t="n">
        <f aca="false">IF(K270=0,0,N270/K270)</f>
        <v>-0.2</v>
      </c>
      <c r="U270" s="17" t="str">
        <f aca="false">IF(N270&lt;0,"Loss",IF(T270&gt;=0.2,"High margin","Normal"))</f>
        <v>Loss</v>
      </c>
      <c r="V270" s="17" t="str">
        <f aca="false">IF(M270=0,"No discount",IF(M270&lt;=0.2,"Low",IF(M270&lt;=0.4,"Medium","High")))</f>
        <v>Low</v>
      </c>
      <c r="W270" s="17" t="str">
        <f aca="false">IF(OR(B270="Same Day",B270="First Class"),"Fast","Standard")</f>
        <v>Standard</v>
      </c>
      <c r="X270" s="19" t="n">
        <f aca="false">ROUND(K270/L270,2)</f>
        <v>37.21</v>
      </c>
    </row>
    <row r="271" customFormat="false" ht="15" hidden="false" customHeight="false" outlineLevel="0" collapsed="false">
      <c r="A271" s="14" t="n">
        <v>270</v>
      </c>
      <c r="B271" s="14" t="s">
        <v>139</v>
      </c>
      <c r="C271" s="14" t="s">
        <v>135</v>
      </c>
      <c r="D271" s="14" t="s">
        <v>128</v>
      </c>
      <c r="E271" s="14" t="s">
        <v>257</v>
      </c>
      <c r="F271" s="14" t="s">
        <v>213</v>
      </c>
      <c r="G271" s="14" t="n">
        <v>45231</v>
      </c>
      <c r="H271" s="14" t="s">
        <v>166</v>
      </c>
      <c r="I271" s="14" t="s">
        <v>137</v>
      </c>
      <c r="J271" s="14" t="s">
        <v>169</v>
      </c>
      <c r="K271" s="15" t="n">
        <v>57.576</v>
      </c>
      <c r="L271" s="14" t="n">
        <v>3</v>
      </c>
      <c r="M271" s="16" t="n">
        <v>0.2</v>
      </c>
      <c r="N271" s="15" t="n">
        <v>21.591</v>
      </c>
      <c r="O271" s="17" t="str">
        <f aca="false">UPPER(LEFT(F271,3))&amp;"-"&amp;G271</f>
        <v>OHI-45231</v>
      </c>
      <c r="P271" s="17" t="str">
        <f aca="false">PROPER(TRIM(E271))</f>
        <v>Cincinnati</v>
      </c>
      <c r="Q271" s="17" t="str">
        <f aca="false">IFERROR(VLOOKUP(F271,Lookups!$A$2:$B$50,2,FALSE()),"Not found")</f>
        <v>East</v>
      </c>
      <c r="R271" s="17" t="str">
        <f aca="false">IF(Q271=H271,"Match","Mismatch")</f>
        <v>Match</v>
      </c>
      <c r="S271" s="17" t="str">
        <f aca="false">IFERROR(INDEX(SubCatCat,MATCH(J271,SubCatName,0)),"Not found")</f>
        <v>Office Supplies</v>
      </c>
      <c r="T271" s="18" t="n">
        <f aca="false">IF(K271=0,0,N271/K271)</f>
        <v>0.375</v>
      </c>
      <c r="U271" s="17" t="str">
        <f aca="false">IF(N271&lt;0,"Loss",IF(T271&gt;=0.2,"High margin","Normal"))</f>
        <v>High margin</v>
      </c>
      <c r="V271" s="17" t="str">
        <f aca="false">IF(M271=0,"No discount",IF(M271&lt;=0.2,"Low",IF(M271&lt;=0.4,"Medium","High")))</f>
        <v>Low</v>
      </c>
      <c r="W271" s="17" t="str">
        <f aca="false">IF(OR(B271="Same Day",B271="First Class"),"Fast","Standard")</f>
        <v>Standard</v>
      </c>
      <c r="X271" s="19" t="n">
        <f aca="false">ROUND(K271/L271,2)</f>
        <v>19.19</v>
      </c>
    </row>
    <row r="272" customFormat="false" ht="15" hidden="false" customHeight="false" outlineLevel="0" collapsed="false">
      <c r="A272" s="14" t="n">
        <v>271</v>
      </c>
      <c r="B272" s="14" t="s">
        <v>127</v>
      </c>
      <c r="C272" s="14" t="s">
        <v>135</v>
      </c>
      <c r="D272" s="14" t="s">
        <v>128</v>
      </c>
      <c r="E272" s="14" t="s">
        <v>161</v>
      </c>
      <c r="F272" s="14" t="s">
        <v>9</v>
      </c>
      <c r="G272" s="14" t="n">
        <v>94110</v>
      </c>
      <c r="H272" s="14" t="s">
        <v>3</v>
      </c>
      <c r="I272" s="14" t="s">
        <v>137</v>
      </c>
      <c r="J272" s="14" t="s">
        <v>143</v>
      </c>
      <c r="K272" s="15" t="n">
        <v>725.84</v>
      </c>
      <c r="L272" s="14" t="n">
        <v>4</v>
      </c>
      <c r="M272" s="16" t="n">
        <v>0</v>
      </c>
      <c r="N272" s="15" t="n">
        <v>210.4936</v>
      </c>
      <c r="O272" s="17" t="str">
        <f aca="false">UPPER(LEFT(F272,3))&amp;"-"&amp;G272</f>
        <v>CAL-94110</v>
      </c>
      <c r="P272" s="17" t="str">
        <f aca="false">PROPER(TRIM(E272))</f>
        <v>San Francisco</v>
      </c>
      <c r="Q272" s="17" t="str">
        <f aca="false">IFERROR(VLOOKUP(F272,Lookups!$A$2:$B$50,2,FALSE()),"Not found")</f>
        <v>West</v>
      </c>
      <c r="R272" s="17" t="str">
        <f aca="false">IF(Q272=H272,"Match","Mismatch")</f>
        <v>Match</v>
      </c>
      <c r="S272" s="17" t="str">
        <f aca="false">IFERROR(INDEX(SubCatCat,MATCH(J272,SubCatName,0)),"Not found")</f>
        <v>Office Supplies</v>
      </c>
      <c r="T272" s="18" t="n">
        <f aca="false">IF(K272=0,0,N272/K272)</f>
        <v>0.29</v>
      </c>
      <c r="U272" s="17" t="str">
        <f aca="false">IF(N272&lt;0,"Loss",IF(T272&gt;=0.2,"High margin","Normal"))</f>
        <v>High margin</v>
      </c>
      <c r="V272" s="17" t="str">
        <f aca="false">IF(M272=0,"No discount",IF(M272&lt;=0.2,"Low",IF(M272&lt;=0.4,"Medium","High")))</f>
        <v>No discount</v>
      </c>
      <c r="W272" s="17" t="str">
        <f aca="false">IF(OR(B272="Same Day",B272="First Class"),"Fast","Standard")</f>
        <v>Standard</v>
      </c>
      <c r="X272" s="19" t="n">
        <f aca="false">ROUND(K272/L272,2)</f>
        <v>181.46</v>
      </c>
    </row>
    <row r="273" customFormat="false" ht="15" hidden="false" customHeight="false" outlineLevel="0" collapsed="false">
      <c r="A273" s="14" t="n">
        <v>272</v>
      </c>
      <c r="B273" s="14" t="s">
        <v>171</v>
      </c>
      <c r="C273" s="14" t="s">
        <v>7</v>
      </c>
      <c r="D273" s="14" t="s">
        <v>128</v>
      </c>
      <c r="E273" s="14" t="s">
        <v>161</v>
      </c>
      <c r="F273" s="14" t="s">
        <v>9</v>
      </c>
      <c r="G273" s="14" t="n">
        <v>94109</v>
      </c>
      <c r="H273" s="14" t="s">
        <v>3</v>
      </c>
      <c r="I273" s="14" t="s">
        <v>5</v>
      </c>
      <c r="J273" s="14" t="s">
        <v>168</v>
      </c>
      <c r="K273" s="15" t="n">
        <v>209.93</v>
      </c>
      <c r="L273" s="14" t="n">
        <v>7</v>
      </c>
      <c r="M273" s="16" t="n">
        <v>0</v>
      </c>
      <c r="N273" s="15" t="n">
        <v>92.3692</v>
      </c>
      <c r="O273" s="17" t="str">
        <f aca="false">UPPER(LEFT(F273,3))&amp;"-"&amp;G273</f>
        <v>CAL-94109</v>
      </c>
      <c r="P273" s="17" t="str">
        <f aca="false">PROPER(TRIM(E273))</f>
        <v>San Francisco</v>
      </c>
      <c r="Q273" s="17" t="str">
        <f aca="false">IFERROR(VLOOKUP(F273,Lookups!$A$2:$B$50,2,FALSE()),"Not found")</f>
        <v>West</v>
      </c>
      <c r="R273" s="17" t="str">
        <f aca="false">IF(Q273=H273,"Match","Mismatch")</f>
        <v>Match</v>
      </c>
      <c r="S273" s="17" t="str">
        <f aca="false">IFERROR(INDEX(SubCatCat,MATCH(J273,SubCatName,0)),"Not found")</f>
        <v>Technology</v>
      </c>
      <c r="T273" s="18" t="n">
        <f aca="false">IF(K273=0,0,N273/K273)</f>
        <v>0.44</v>
      </c>
      <c r="U273" s="17" t="str">
        <f aca="false">IF(N273&lt;0,"Loss",IF(T273&gt;=0.2,"High margin","Normal"))</f>
        <v>High margin</v>
      </c>
      <c r="V273" s="17" t="str">
        <f aca="false">IF(M273=0,"No discount",IF(M273&lt;=0.2,"Low",IF(M273&lt;=0.4,"Medium","High")))</f>
        <v>No discount</v>
      </c>
      <c r="W273" s="17" t="str">
        <f aca="false">IF(OR(B273="Same Day",B273="First Class"),"Fast","Standard")</f>
        <v>Fast</v>
      </c>
      <c r="X273" s="19" t="n">
        <f aca="false">ROUND(K273/L273,2)</f>
        <v>29.99</v>
      </c>
    </row>
    <row r="274" customFormat="false" ht="15" hidden="false" customHeight="false" outlineLevel="0" collapsed="false">
      <c r="A274" s="14" t="n">
        <v>273</v>
      </c>
      <c r="B274" s="14" t="s">
        <v>171</v>
      </c>
      <c r="C274" s="14" t="s">
        <v>7</v>
      </c>
      <c r="D274" s="14" t="s">
        <v>128</v>
      </c>
      <c r="E274" s="14" t="s">
        <v>161</v>
      </c>
      <c r="F274" s="14" t="s">
        <v>9</v>
      </c>
      <c r="G274" s="14" t="n">
        <v>94109</v>
      </c>
      <c r="H274" s="14" t="s">
        <v>3</v>
      </c>
      <c r="I274" s="14" t="s">
        <v>132</v>
      </c>
      <c r="J274" s="14" t="s">
        <v>144</v>
      </c>
      <c r="K274" s="15" t="n">
        <v>5.28</v>
      </c>
      <c r="L274" s="14" t="n">
        <v>3</v>
      </c>
      <c r="M274" s="16" t="n">
        <v>0</v>
      </c>
      <c r="N274" s="15" t="n">
        <v>2.3232</v>
      </c>
      <c r="O274" s="17" t="str">
        <f aca="false">UPPER(LEFT(F274,3))&amp;"-"&amp;G274</f>
        <v>CAL-94109</v>
      </c>
      <c r="P274" s="17" t="str">
        <f aca="false">PROPER(TRIM(E274))</f>
        <v>San Francisco</v>
      </c>
      <c r="Q274" s="17" t="str">
        <f aca="false">IFERROR(VLOOKUP(F274,Lookups!$A$2:$B$50,2,FALSE()),"Not found")</f>
        <v>West</v>
      </c>
      <c r="R274" s="17" t="str">
        <f aca="false">IF(Q274=H274,"Match","Mismatch")</f>
        <v>Match</v>
      </c>
      <c r="S274" s="17" t="str">
        <f aca="false">IFERROR(INDEX(SubCatCat,MATCH(J274,SubCatName,0)),"Not found")</f>
        <v>Furniture</v>
      </c>
      <c r="T274" s="18" t="n">
        <f aca="false">IF(K274=0,0,N274/K274)</f>
        <v>0.44</v>
      </c>
      <c r="U274" s="17" t="str">
        <f aca="false">IF(N274&lt;0,"Loss",IF(T274&gt;=0.2,"High margin","Normal"))</f>
        <v>High margin</v>
      </c>
      <c r="V274" s="17" t="str">
        <f aca="false">IF(M274=0,"No discount",IF(M274&lt;=0.2,"Low",IF(M274&lt;=0.4,"Medium","High")))</f>
        <v>No discount</v>
      </c>
      <c r="W274" s="17" t="str">
        <f aca="false">IF(OR(B274="Same Day",B274="First Class"),"Fast","Standard")</f>
        <v>Fast</v>
      </c>
      <c r="X274" s="19" t="n">
        <f aca="false">ROUND(K274/L274,2)</f>
        <v>1.76</v>
      </c>
    </row>
    <row r="275" customFormat="false" ht="15" hidden="false" customHeight="false" outlineLevel="0" collapsed="false">
      <c r="A275" s="14" t="n">
        <v>274</v>
      </c>
      <c r="B275" s="14" t="s">
        <v>171</v>
      </c>
      <c r="C275" s="14" t="s">
        <v>7</v>
      </c>
      <c r="D275" s="14" t="s">
        <v>128</v>
      </c>
      <c r="E275" s="14" t="s">
        <v>161</v>
      </c>
      <c r="F275" s="14" t="s">
        <v>9</v>
      </c>
      <c r="G275" s="14" t="n">
        <v>94109</v>
      </c>
      <c r="H275" s="14" t="s">
        <v>3</v>
      </c>
      <c r="I275" s="14" t="s">
        <v>137</v>
      </c>
      <c r="J275" s="14" t="s">
        <v>146</v>
      </c>
      <c r="K275" s="15" t="n">
        <v>10.92</v>
      </c>
      <c r="L275" s="14" t="n">
        <v>3</v>
      </c>
      <c r="M275" s="16" t="n">
        <v>0.2</v>
      </c>
      <c r="N275" s="15" t="n">
        <v>4.095</v>
      </c>
      <c r="O275" s="17" t="str">
        <f aca="false">UPPER(LEFT(F275,3))&amp;"-"&amp;G275</f>
        <v>CAL-94109</v>
      </c>
      <c r="P275" s="17" t="str">
        <f aca="false">PROPER(TRIM(E275))</f>
        <v>San Francisco</v>
      </c>
      <c r="Q275" s="17" t="str">
        <f aca="false">IFERROR(VLOOKUP(F275,Lookups!$A$2:$B$50,2,FALSE()),"Not found")</f>
        <v>West</v>
      </c>
      <c r="R275" s="17" t="str">
        <f aca="false">IF(Q275=H275,"Match","Mismatch")</f>
        <v>Match</v>
      </c>
      <c r="S275" s="17" t="str">
        <f aca="false">IFERROR(INDEX(SubCatCat,MATCH(J275,SubCatName,0)),"Not found")</f>
        <v>Office Supplies</v>
      </c>
      <c r="T275" s="18" t="n">
        <f aca="false">IF(K275=0,0,N275/K275)</f>
        <v>0.375</v>
      </c>
      <c r="U275" s="17" t="str">
        <f aca="false">IF(N275&lt;0,"Loss",IF(T275&gt;=0.2,"High margin","Normal"))</f>
        <v>High margin</v>
      </c>
      <c r="V275" s="17" t="str">
        <f aca="false">IF(M275=0,"No discount",IF(M275&lt;=0.2,"Low",IF(M275&lt;=0.4,"Medium","High")))</f>
        <v>Low</v>
      </c>
      <c r="W275" s="17" t="str">
        <f aca="false">IF(OR(B275="Same Day",B275="First Class"),"Fast","Standard")</f>
        <v>Fast</v>
      </c>
      <c r="X275" s="19" t="n">
        <f aca="false">ROUND(K275/L275,2)</f>
        <v>3.64</v>
      </c>
    </row>
    <row r="276" customFormat="false" ht="15" hidden="false" customHeight="false" outlineLevel="0" collapsed="false">
      <c r="A276" s="14" t="n">
        <v>275</v>
      </c>
      <c r="B276" s="14" t="s">
        <v>171</v>
      </c>
      <c r="C276" s="14" t="s">
        <v>135</v>
      </c>
      <c r="D276" s="14" t="s">
        <v>128</v>
      </c>
      <c r="E276" s="14" t="s">
        <v>258</v>
      </c>
      <c r="F276" s="14" t="s">
        <v>9</v>
      </c>
      <c r="G276" s="14" t="n">
        <v>90301</v>
      </c>
      <c r="H276" s="14" t="s">
        <v>3</v>
      </c>
      <c r="I276" s="14" t="s">
        <v>137</v>
      </c>
      <c r="J276" s="14" t="s">
        <v>150</v>
      </c>
      <c r="K276" s="15" t="n">
        <v>8.82</v>
      </c>
      <c r="L276" s="14" t="n">
        <v>2</v>
      </c>
      <c r="M276" s="16" t="n">
        <v>0</v>
      </c>
      <c r="N276" s="15" t="n">
        <v>4.0572</v>
      </c>
      <c r="O276" s="17" t="str">
        <f aca="false">UPPER(LEFT(F276,3))&amp;"-"&amp;G276</f>
        <v>CAL-90301</v>
      </c>
      <c r="P276" s="17" t="str">
        <f aca="false">PROPER(TRIM(E276))</f>
        <v>Inglewood</v>
      </c>
      <c r="Q276" s="17" t="str">
        <f aca="false">IFERROR(VLOOKUP(F276,Lookups!$A$2:$B$50,2,FALSE()),"Not found")</f>
        <v>West</v>
      </c>
      <c r="R276" s="17" t="str">
        <f aca="false">IF(Q276=H276,"Match","Mismatch")</f>
        <v>Match</v>
      </c>
      <c r="S276" s="17" t="str">
        <f aca="false">IFERROR(INDEX(SubCatCat,MATCH(J276,SubCatName,0)),"Not found")</f>
        <v>Office Supplies</v>
      </c>
      <c r="T276" s="18" t="n">
        <f aca="false">IF(K276=0,0,N276/K276)</f>
        <v>0.46</v>
      </c>
      <c r="U276" s="17" t="str">
        <f aca="false">IF(N276&lt;0,"Loss",IF(T276&gt;=0.2,"High margin","Normal"))</f>
        <v>High margin</v>
      </c>
      <c r="V276" s="17" t="str">
        <f aca="false">IF(M276=0,"No discount",IF(M276&lt;=0.2,"Low",IF(M276&lt;=0.4,"Medium","High")))</f>
        <v>No discount</v>
      </c>
      <c r="W276" s="17" t="str">
        <f aca="false">IF(OR(B276="Same Day",B276="First Class"),"Fast","Standard")</f>
        <v>Fast</v>
      </c>
      <c r="X276" s="19" t="n">
        <f aca="false">ROUND(K276/L276,2)</f>
        <v>4.41</v>
      </c>
    </row>
    <row r="277" customFormat="false" ht="15" hidden="false" customHeight="false" outlineLevel="0" collapsed="false">
      <c r="A277" s="14" t="n">
        <v>276</v>
      </c>
      <c r="B277" s="14" t="s">
        <v>171</v>
      </c>
      <c r="C277" s="14" t="s">
        <v>135</v>
      </c>
      <c r="D277" s="14" t="s">
        <v>128</v>
      </c>
      <c r="E277" s="14" t="s">
        <v>258</v>
      </c>
      <c r="F277" s="14" t="s">
        <v>9</v>
      </c>
      <c r="G277" s="14" t="n">
        <v>90301</v>
      </c>
      <c r="H277" s="14" t="s">
        <v>3</v>
      </c>
      <c r="I277" s="14" t="s">
        <v>137</v>
      </c>
      <c r="J277" s="14" t="s">
        <v>145</v>
      </c>
      <c r="K277" s="15" t="n">
        <v>5.98</v>
      </c>
      <c r="L277" s="14" t="n">
        <v>1</v>
      </c>
      <c r="M277" s="16" t="n">
        <v>0</v>
      </c>
      <c r="N277" s="15" t="n">
        <v>1.5548</v>
      </c>
      <c r="O277" s="17" t="str">
        <f aca="false">UPPER(LEFT(F277,3))&amp;"-"&amp;G277</f>
        <v>CAL-90301</v>
      </c>
      <c r="P277" s="17" t="str">
        <f aca="false">PROPER(TRIM(E277))</f>
        <v>Inglewood</v>
      </c>
      <c r="Q277" s="17" t="str">
        <f aca="false">IFERROR(VLOOKUP(F277,Lookups!$A$2:$B$50,2,FALSE()),"Not found")</f>
        <v>West</v>
      </c>
      <c r="R277" s="17" t="str">
        <f aca="false">IF(Q277=H277,"Match","Mismatch")</f>
        <v>Match</v>
      </c>
      <c r="S277" s="17" t="str">
        <f aca="false">IFERROR(INDEX(SubCatCat,MATCH(J277,SubCatName,0)),"Not found")</f>
        <v>Office Supplies</v>
      </c>
      <c r="T277" s="18" t="n">
        <f aca="false">IF(K277=0,0,N277/K277)</f>
        <v>0.26</v>
      </c>
      <c r="U277" s="17" t="str">
        <f aca="false">IF(N277&lt;0,"Loss",IF(T277&gt;=0.2,"High margin","Normal"))</f>
        <v>High margin</v>
      </c>
      <c r="V277" s="17" t="str">
        <f aca="false">IF(M277=0,"No discount",IF(M277&lt;=0.2,"Low",IF(M277&lt;=0.4,"Medium","High")))</f>
        <v>No discount</v>
      </c>
      <c r="W277" s="17" t="str">
        <f aca="false">IF(OR(B277="Same Day",B277="First Class"),"Fast","Standard")</f>
        <v>Fast</v>
      </c>
      <c r="X277" s="19" t="n">
        <f aca="false">ROUND(K277/L277,2)</f>
        <v>5.98</v>
      </c>
    </row>
    <row r="278" customFormat="false" ht="15" hidden="false" customHeight="false" outlineLevel="0" collapsed="false">
      <c r="A278" s="14" t="n">
        <v>277</v>
      </c>
      <c r="B278" s="14" t="s">
        <v>139</v>
      </c>
      <c r="C278" s="14" t="s">
        <v>135</v>
      </c>
      <c r="D278" s="14" t="s">
        <v>128</v>
      </c>
      <c r="E278" s="14" t="s">
        <v>164</v>
      </c>
      <c r="F278" s="14" t="s">
        <v>165</v>
      </c>
      <c r="G278" s="14" t="n">
        <v>19140</v>
      </c>
      <c r="H278" s="14" t="s">
        <v>166</v>
      </c>
      <c r="I278" s="14" t="s">
        <v>137</v>
      </c>
      <c r="J278" s="14" t="s">
        <v>150</v>
      </c>
      <c r="K278" s="15" t="n">
        <v>11.648</v>
      </c>
      <c r="L278" s="14" t="n">
        <v>2</v>
      </c>
      <c r="M278" s="16" t="n">
        <v>0.2</v>
      </c>
      <c r="N278" s="15" t="n">
        <v>4.0768</v>
      </c>
      <c r="O278" s="17" t="str">
        <f aca="false">UPPER(LEFT(F278,3))&amp;"-"&amp;G278</f>
        <v>PEN-19140</v>
      </c>
      <c r="P278" s="17" t="str">
        <f aca="false">PROPER(TRIM(E278))</f>
        <v>Philadelphia</v>
      </c>
      <c r="Q278" s="17" t="str">
        <f aca="false">IFERROR(VLOOKUP(F278,Lookups!$A$2:$B$50,2,FALSE()),"Not found")</f>
        <v>East</v>
      </c>
      <c r="R278" s="17" t="str">
        <f aca="false">IF(Q278=H278,"Match","Mismatch")</f>
        <v>Match</v>
      </c>
      <c r="S278" s="17" t="str">
        <f aca="false">IFERROR(INDEX(SubCatCat,MATCH(J278,SubCatName,0)),"Not found")</f>
        <v>Office Supplies</v>
      </c>
      <c r="T278" s="18" t="n">
        <f aca="false">IF(K278=0,0,N278/K278)</f>
        <v>0.35</v>
      </c>
      <c r="U278" s="17" t="str">
        <f aca="false">IF(N278&lt;0,"Loss",IF(T278&gt;=0.2,"High margin","Normal"))</f>
        <v>High margin</v>
      </c>
      <c r="V278" s="17" t="str">
        <f aca="false">IF(M278=0,"No discount",IF(M278&lt;=0.2,"Low",IF(M278&lt;=0.4,"Medium","High")))</f>
        <v>Low</v>
      </c>
      <c r="W278" s="17" t="str">
        <f aca="false">IF(OR(B278="Same Day",B278="First Class"),"Fast","Standard")</f>
        <v>Standard</v>
      </c>
      <c r="X278" s="19" t="n">
        <f aca="false">ROUND(K278/L278,2)</f>
        <v>5.82</v>
      </c>
    </row>
    <row r="279" customFormat="false" ht="15" hidden="false" customHeight="false" outlineLevel="0" collapsed="false">
      <c r="A279" s="14" t="n">
        <v>278</v>
      </c>
      <c r="B279" s="14" t="s">
        <v>139</v>
      </c>
      <c r="C279" s="14" t="s">
        <v>135</v>
      </c>
      <c r="D279" s="14" t="s">
        <v>128</v>
      </c>
      <c r="E279" s="14" t="s">
        <v>164</v>
      </c>
      <c r="F279" s="14" t="s">
        <v>165</v>
      </c>
      <c r="G279" s="14" t="n">
        <v>19140</v>
      </c>
      <c r="H279" s="14" t="s">
        <v>166</v>
      </c>
      <c r="I279" s="14" t="s">
        <v>137</v>
      </c>
      <c r="J279" s="14" t="s">
        <v>150</v>
      </c>
      <c r="K279" s="15" t="n">
        <v>18.176</v>
      </c>
      <c r="L279" s="14" t="n">
        <v>4</v>
      </c>
      <c r="M279" s="16" t="n">
        <v>0.2</v>
      </c>
      <c r="N279" s="15" t="n">
        <v>5.9072</v>
      </c>
      <c r="O279" s="17" t="str">
        <f aca="false">UPPER(LEFT(F279,3))&amp;"-"&amp;G279</f>
        <v>PEN-19140</v>
      </c>
      <c r="P279" s="17" t="str">
        <f aca="false">PROPER(TRIM(E279))</f>
        <v>Philadelphia</v>
      </c>
      <c r="Q279" s="17" t="str">
        <f aca="false">IFERROR(VLOOKUP(F279,Lookups!$A$2:$B$50,2,FALSE()),"Not found")</f>
        <v>East</v>
      </c>
      <c r="R279" s="17" t="str">
        <f aca="false">IF(Q279=H279,"Match","Mismatch")</f>
        <v>Match</v>
      </c>
      <c r="S279" s="17" t="str">
        <f aca="false">IFERROR(INDEX(SubCatCat,MATCH(J279,SubCatName,0)),"Not found")</f>
        <v>Office Supplies</v>
      </c>
      <c r="T279" s="18" t="n">
        <f aca="false">IF(K279=0,0,N279/K279)</f>
        <v>0.325</v>
      </c>
      <c r="U279" s="17" t="str">
        <f aca="false">IF(N279&lt;0,"Loss",IF(T279&gt;=0.2,"High margin","Normal"))</f>
        <v>High margin</v>
      </c>
      <c r="V279" s="17" t="str">
        <f aca="false">IF(M279=0,"No discount",IF(M279&lt;=0.2,"Low",IF(M279&lt;=0.4,"Medium","High")))</f>
        <v>Low</v>
      </c>
      <c r="W279" s="17" t="str">
        <f aca="false">IF(OR(B279="Same Day",B279="First Class"),"Fast","Standard")</f>
        <v>Standard</v>
      </c>
      <c r="X279" s="19" t="n">
        <f aca="false">ROUND(K279/L279,2)</f>
        <v>4.54</v>
      </c>
    </row>
    <row r="280" customFormat="false" ht="15" hidden="false" customHeight="false" outlineLevel="0" collapsed="false">
      <c r="A280" s="14" t="n">
        <v>279</v>
      </c>
      <c r="B280" s="14" t="s">
        <v>139</v>
      </c>
      <c r="C280" s="14" t="s">
        <v>135</v>
      </c>
      <c r="D280" s="14" t="s">
        <v>128</v>
      </c>
      <c r="E280" s="14" t="s">
        <v>164</v>
      </c>
      <c r="F280" s="14" t="s">
        <v>165</v>
      </c>
      <c r="G280" s="14" t="n">
        <v>19140</v>
      </c>
      <c r="H280" s="14" t="s">
        <v>166</v>
      </c>
      <c r="I280" s="14" t="s">
        <v>137</v>
      </c>
      <c r="J280" s="14" t="s">
        <v>143</v>
      </c>
      <c r="K280" s="15" t="n">
        <v>59.712</v>
      </c>
      <c r="L280" s="14" t="n">
        <v>6</v>
      </c>
      <c r="M280" s="16" t="n">
        <v>0.2</v>
      </c>
      <c r="N280" s="15" t="n">
        <v>5.9712</v>
      </c>
      <c r="O280" s="17" t="str">
        <f aca="false">UPPER(LEFT(F280,3))&amp;"-"&amp;G280</f>
        <v>PEN-19140</v>
      </c>
      <c r="P280" s="17" t="str">
        <f aca="false">PROPER(TRIM(E280))</f>
        <v>Philadelphia</v>
      </c>
      <c r="Q280" s="17" t="str">
        <f aca="false">IFERROR(VLOOKUP(F280,Lookups!$A$2:$B$50,2,FALSE()),"Not found")</f>
        <v>East</v>
      </c>
      <c r="R280" s="17" t="str">
        <f aca="false">IF(Q280=H280,"Match","Mismatch")</f>
        <v>Match</v>
      </c>
      <c r="S280" s="17" t="str">
        <f aca="false">IFERROR(INDEX(SubCatCat,MATCH(J280,SubCatName,0)),"Not found")</f>
        <v>Office Supplies</v>
      </c>
      <c r="T280" s="18" t="n">
        <f aca="false">IF(K280=0,0,N280/K280)</f>
        <v>0.1</v>
      </c>
      <c r="U280" s="17" t="str">
        <f aca="false">IF(N280&lt;0,"Loss",IF(T280&gt;=0.2,"High margin","Normal"))</f>
        <v>Normal</v>
      </c>
      <c r="V280" s="17" t="str">
        <f aca="false">IF(M280=0,"No discount",IF(M280&lt;=0.2,"Low",IF(M280&lt;=0.4,"Medium","High")))</f>
        <v>Low</v>
      </c>
      <c r="W280" s="17" t="str">
        <f aca="false">IF(OR(B280="Same Day",B280="First Class"),"Fast","Standard")</f>
        <v>Standard</v>
      </c>
      <c r="X280" s="19" t="n">
        <f aca="false">ROUND(K280/L280,2)</f>
        <v>9.95</v>
      </c>
    </row>
    <row r="281" customFormat="false" ht="15" hidden="false" customHeight="false" outlineLevel="0" collapsed="false">
      <c r="A281" s="14" t="n">
        <v>280</v>
      </c>
      <c r="B281" s="14" t="s">
        <v>139</v>
      </c>
      <c r="C281" s="14" t="s">
        <v>135</v>
      </c>
      <c r="D281" s="14" t="s">
        <v>128</v>
      </c>
      <c r="E281" s="14" t="s">
        <v>164</v>
      </c>
      <c r="F281" s="14" t="s">
        <v>165</v>
      </c>
      <c r="G281" s="14" t="n">
        <v>19140</v>
      </c>
      <c r="H281" s="14" t="s">
        <v>166</v>
      </c>
      <c r="I281" s="14" t="s">
        <v>137</v>
      </c>
      <c r="J281" s="14" t="s">
        <v>138</v>
      </c>
      <c r="K281" s="15" t="n">
        <v>24.84</v>
      </c>
      <c r="L281" s="14" t="n">
        <v>3</v>
      </c>
      <c r="M281" s="16" t="n">
        <v>0.2</v>
      </c>
      <c r="N281" s="15" t="n">
        <v>8.694</v>
      </c>
      <c r="O281" s="17" t="str">
        <f aca="false">UPPER(LEFT(F281,3))&amp;"-"&amp;G281</f>
        <v>PEN-19140</v>
      </c>
      <c r="P281" s="17" t="str">
        <f aca="false">PROPER(TRIM(E281))</f>
        <v>Philadelphia</v>
      </c>
      <c r="Q281" s="17" t="str">
        <f aca="false">IFERROR(VLOOKUP(F281,Lookups!$A$2:$B$50,2,FALSE()),"Not found")</f>
        <v>East</v>
      </c>
      <c r="R281" s="17" t="str">
        <f aca="false">IF(Q281=H281,"Match","Mismatch")</f>
        <v>Match</v>
      </c>
      <c r="S281" s="17" t="str">
        <f aca="false">IFERROR(INDEX(SubCatCat,MATCH(J281,SubCatName,0)),"Not found")</f>
        <v>Office Supplies</v>
      </c>
      <c r="T281" s="18" t="n">
        <f aca="false">IF(K281=0,0,N281/K281)</f>
        <v>0.35</v>
      </c>
      <c r="U281" s="17" t="str">
        <f aca="false">IF(N281&lt;0,"Loss",IF(T281&gt;=0.2,"High margin","Normal"))</f>
        <v>High margin</v>
      </c>
      <c r="V281" s="17" t="str">
        <f aca="false">IF(M281=0,"No discount",IF(M281&lt;=0.2,"Low",IF(M281&lt;=0.4,"Medium","High")))</f>
        <v>Low</v>
      </c>
      <c r="W281" s="17" t="str">
        <f aca="false">IF(OR(B281="Same Day",B281="First Class"),"Fast","Standard")</f>
        <v>Standard</v>
      </c>
      <c r="X281" s="19" t="n">
        <f aca="false">ROUND(K281/L281,2)</f>
        <v>8.28</v>
      </c>
    </row>
    <row r="282" customFormat="false" ht="15" hidden="false" customHeight="false" outlineLevel="0" collapsed="false">
      <c r="A282" s="14" t="n">
        <v>281</v>
      </c>
      <c r="B282" s="14" t="s">
        <v>127</v>
      </c>
      <c r="C282" s="14" t="s">
        <v>7</v>
      </c>
      <c r="D282" s="14" t="s">
        <v>128</v>
      </c>
      <c r="E282" s="14" t="s">
        <v>170</v>
      </c>
      <c r="F282" s="14" t="s">
        <v>155</v>
      </c>
      <c r="G282" s="14" t="n">
        <v>77070</v>
      </c>
      <c r="H282" s="14" t="s">
        <v>156</v>
      </c>
      <c r="I282" s="14" t="s">
        <v>137</v>
      </c>
      <c r="J282" s="14" t="s">
        <v>146</v>
      </c>
      <c r="K282" s="15" t="n">
        <v>2.08</v>
      </c>
      <c r="L282" s="14" t="n">
        <v>5</v>
      </c>
      <c r="M282" s="16" t="n">
        <v>0.8</v>
      </c>
      <c r="N282" s="15" t="n">
        <v>-3.432</v>
      </c>
      <c r="O282" s="17" t="str">
        <f aca="false">UPPER(LEFT(F282,3))&amp;"-"&amp;G282</f>
        <v>TEX-77070</v>
      </c>
      <c r="P282" s="17" t="str">
        <f aca="false">PROPER(TRIM(E282))</f>
        <v>Houston</v>
      </c>
      <c r="Q282" s="17" t="str">
        <f aca="false">IFERROR(VLOOKUP(F282,Lookups!$A$2:$B$50,2,FALSE()),"Not found")</f>
        <v>Central</v>
      </c>
      <c r="R282" s="17" t="str">
        <f aca="false">IF(Q282=H282,"Match","Mismatch")</f>
        <v>Match</v>
      </c>
      <c r="S282" s="17" t="str">
        <f aca="false">IFERROR(INDEX(SubCatCat,MATCH(J282,SubCatName,0)),"Not found")</f>
        <v>Office Supplies</v>
      </c>
      <c r="T282" s="18" t="n">
        <f aca="false">IF(K282=0,0,N282/K282)</f>
        <v>-1.65</v>
      </c>
      <c r="U282" s="17" t="str">
        <f aca="false">IF(N282&lt;0,"Loss",IF(T282&gt;=0.2,"High margin","Normal"))</f>
        <v>Loss</v>
      </c>
      <c r="V282" s="17" t="str">
        <f aca="false">IF(M282=0,"No discount",IF(M282&lt;=0.2,"Low",IF(M282&lt;=0.4,"Medium","High")))</f>
        <v>High</v>
      </c>
      <c r="W282" s="17" t="str">
        <f aca="false">IF(OR(B282="Same Day",B282="First Class"),"Fast","Standard")</f>
        <v>Standard</v>
      </c>
      <c r="X282" s="19" t="n">
        <f aca="false">ROUND(K282/L282,2)</f>
        <v>0.42</v>
      </c>
    </row>
    <row r="283" customFormat="false" ht="15" hidden="false" customHeight="false" outlineLevel="0" collapsed="false">
      <c r="A283" s="14" t="n">
        <v>282</v>
      </c>
      <c r="B283" s="14" t="s">
        <v>127</v>
      </c>
      <c r="C283" s="14" t="s">
        <v>7</v>
      </c>
      <c r="D283" s="14" t="s">
        <v>128</v>
      </c>
      <c r="E283" s="14" t="s">
        <v>170</v>
      </c>
      <c r="F283" s="14" t="s">
        <v>155</v>
      </c>
      <c r="G283" s="14" t="n">
        <v>77070</v>
      </c>
      <c r="H283" s="14" t="s">
        <v>156</v>
      </c>
      <c r="I283" s="14" t="s">
        <v>5</v>
      </c>
      <c r="J283" s="14" t="s">
        <v>11</v>
      </c>
      <c r="K283" s="15" t="n">
        <v>1114.4</v>
      </c>
      <c r="L283" s="14" t="n">
        <v>7</v>
      </c>
      <c r="M283" s="16" t="n">
        <v>0.2</v>
      </c>
      <c r="N283" s="15" t="n">
        <v>376.11</v>
      </c>
      <c r="O283" s="17" t="str">
        <f aca="false">UPPER(LEFT(F283,3))&amp;"-"&amp;G283</f>
        <v>TEX-77070</v>
      </c>
      <c r="P283" s="17" t="str">
        <f aca="false">PROPER(TRIM(E283))</f>
        <v>Houston</v>
      </c>
      <c r="Q283" s="17" t="str">
        <f aca="false">IFERROR(VLOOKUP(F283,Lookups!$A$2:$B$50,2,FALSE()),"Not found")</f>
        <v>Central</v>
      </c>
      <c r="R283" s="17" t="str">
        <f aca="false">IF(Q283=H283,"Match","Mismatch")</f>
        <v>Match</v>
      </c>
      <c r="S283" s="17" t="str">
        <f aca="false">IFERROR(INDEX(SubCatCat,MATCH(J283,SubCatName,0)),"Not found")</f>
        <v>Technology</v>
      </c>
      <c r="T283" s="18" t="n">
        <f aca="false">IF(K283=0,0,N283/K283)</f>
        <v>0.3375</v>
      </c>
      <c r="U283" s="17" t="str">
        <f aca="false">IF(N283&lt;0,"Loss",IF(T283&gt;=0.2,"High margin","Normal"))</f>
        <v>High margin</v>
      </c>
      <c r="V283" s="17" t="str">
        <f aca="false">IF(M283=0,"No discount",IF(M283&lt;=0.2,"Low",IF(M283&lt;=0.4,"Medium","High")))</f>
        <v>Low</v>
      </c>
      <c r="W283" s="17" t="str">
        <f aca="false">IF(OR(B283="Same Day",B283="First Class"),"Fast","Standard")</f>
        <v>Standard</v>
      </c>
      <c r="X283" s="19" t="n">
        <f aca="false">ROUND(K283/L283,2)</f>
        <v>159.2</v>
      </c>
    </row>
    <row r="284" customFormat="false" ht="15" hidden="false" customHeight="false" outlineLevel="0" collapsed="false">
      <c r="A284" s="14" t="n">
        <v>283</v>
      </c>
      <c r="B284" s="14" t="s">
        <v>139</v>
      </c>
      <c r="C284" s="14" t="s">
        <v>7</v>
      </c>
      <c r="D284" s="14" t="s">
        <v>128</v>
      </c>
      <c r="E284" s="14" t="s">
        <v>136</v>
      </c>
      <c r="F284" s="14" t="s">
        <v>9</v>
      </c>
      <c r="G284" s="14" t="n">
        <v>90004</v>
      </c>
      <c r="H284" s="14" t="s">
        <v>3</v>
      </c>
      <c r="I284" s="14" t="s">
        <v>132</v>
      </c>
      <c r="J284" s="14" t="s">
        <v>142</v>
      </c>
      <c r="K284" s="15" t="n">
        <v>1038.84</v>
      </c>
      <c r="L284" s="14" t="n">
        <v>5</v>
      </c>
      <c r="M284" s="16" t="n">
        <v>0.2</v>
      </c>
      <c r="N284" s="15" t="n">
        <v>51.942</v>
      </c>
      <c r="O284" s="17" t="str">
        <f aca="false">UPPER(LEFT(F284,3))&amp;"-"&amp;G284</f>
        <v>CAL-90004</v>
      </c>
      <c r="P284" s="17" t="str">
        <f aca="false">PROPER(TRIM(E284))</f>
        <v>Los Angeles</v>
      </c>
      <c r="Q284" s="17" t="str">
        <f aca="false">IFERROR(VLOOKUP(F284,Lookups!$A$2:$B$50,2,FALSE()),"Not found")</f>
        <v>West</v>
      </c>
      <c r="R284" s="17" t="str">
        <f aca="false">IF(Q284=H284,"Match","Mismatch")</f>
        <v>Match</v>
      </c>
      <c r="S284" s="17" t="str">
        <f aca="false">IFERROR(INDEX(SubCatCat,MATCH(J284,SubCatName,0)),"Not found")</f>
        <v>Furniture</v>
      </c>
      <c r="T284" s="18" t="n">
        <f aca="false">IF(K284=0,0,N284/K284)</f>
        <v>0.05</v>
      </c>
      <c r="U284" s="17" t="str">
        <f aca="false">IF(N284&lt;0,"Loss",IF(T284&gt;=0.2,"High margin","Normal"))</f>
        <v>Normal</v>
      </c>
      <c r="V284" s="17" t="str">
        <f aca="false">IF(M284=0,"No discount",IF(M284&lt;=0.2,"Low",IF(M284&lt;=0.4,"Medium","High")))</f>
        <v>Low</v>
      </c>
      <c r="W284" s="17" t="str">
        <f aca="false">IF(OR(B284="Same Day",B284="First Class"),"Fast","Standard")</f>
        <v>Standard</v>
      </c>
      <c r="X284" s="19" t="n">
        <f aca="false">ROUND(K284/L284,2)</f>
        <v>207.77</v>
      </c>
    </row>
    <row r="285" customFormat="false" ht="15" hidden="false" customHeight="false" outlineLevel="0" collapsed="false">
      <c r="A285" s="14" t="n">
        <v>284</v>
      </c>
      <c r="B285" s="14" t="s">
        <v>139</v>
      </c>
      <c r="C285" s="14" t="s">
        <v>7</v>
      </c>
      <c r="D285" s="14" t="s">
        <v>128</v>
      </c>
      <c r="E285" s="14" t="s">
        <v>203</v>
      </c>
      <c r="F285" s="14" t="s">
        <v>204</v>
      </c>
      <c r="G285" s="14" t="n">
        <v>97206</v>
      </c>
      <c r="H285" s="14" t="s">
        <v>3</v>
      </c>
      <c r="I285" s="14" t="s">
        <v>137</v>
      </c>
      <c r="J285" s="14" t="s">
        <v>150</v>
      </c>
      <c r="K285" s="15" t="n">
        <v>141.76</v>
      </c>
      <c r="L285" s="14" t="n">
        <v>5</v>
      </c>
      <c r="M285" s="16" t="n">
        <v>0.2</v>
      </c>
      <c r="N285" s="15" t="n">
        <v>47.844</v>
      </c>
      <c r="O285" s="17" t="str">
        <f aca="false">UPPER(LEFT(F285,3))&amp;"-"&amp;G285</f>
        <v>ORE-97206</v>
      </c>
      <c r="P285" s="17" t="str">
        <f aca="false">PROPER(TRIM(E285))</f>
        <v>Portland</v>
      </c>
      <c r="Q285" s="17" t="str">
        <f aca="false">IFERROR(VLOOKUP(F285,Lookups!$A$2:$B$50,2,FALSE()),"Not found")</f>
        <v>West</v>
      </c>
      <c r="R285" s="17" t="str">
        <f aca="false">IF(Q285=H285,"Match","Mismatch")</f>
        <v>Match</v>
      </c>
      <c r="S285" s="17" t="str">
        <f aca="false">IFERROR(INDEX(SubCatCat,MATCH(J285,SubCatName,0)),"Not found")</f>
        <v>Office Supplies</v>
      </c>
      <c r="T285" s="18" t="n">
        <f aca="false">IF(K285=0,0,N285/K285)</f>
        <v>0.3375</v>
      </c>
      <c r="U285" s="17" t="str">
        <f aca="false">IF(N285&lt;0,"Loss",IF(T285&gt;=0.2,"High margin","Normal"))</f>
        <v>High margin</v>
      </c>
      <c r="V285" s="17" t="str">
        <f aca="false">IF(M285=0,"No discount",IF(M285&lt;=0.2,"Low",IF(M285&lt;=0.4,"Medium","High")))</f>
        <v>Low</v>
      </c>
      <c r="W285" s="17" t="str">
        <f aca="false">IF(OR(B285="Same Day",B285="First Class"),"Fast","Standard")</f>
        <v>Standard</v>
      </c>
      <c r="X285" s="19" t="n">
        <f aca="false">ROUND(K285/L285,2)</f>
        <v>28.35</v>
      </c>
    </row>
    <row r="286" customFormat="false" ht="15" hidden="false" customHeight="false" outlineLevel="0" collapsed="false">
      <c r="A286" s="14" t="n">
        <v>285</v>
      </c>
      <c r="B286" s="14" t="s">
        <v>139</v>
      </c>
      <c r="C286" s="14" t="s">
        <v>7</v>
      </c>
      <c r="D286" s="14" t="s">
        <v>128</v>
      </c>
      <c r="E286" s="14" t="s">
        <v>203</v>
      </c>
      <c r="F286" s="14" t="s">
        <v>204</v>
      </c>
      <c r="G286" s="14" t="n">
        <v>97206</v>
      </c>
      <c r="H286" s="14" t="s">
        <v>3</v>
      </c>
      <c r="I286" s="14" t="s">
        <v>5</v>
      </c>
      <c r="J286" s="14" t="s">
        <v>168</v>
      </c>
      <c r="K286" s="15" t="n">
        <v>239.8</v>
      </c>
      <c r="L286" s="14" t="n">
        <v>5</v>
      </c>
      <c r="M286" s="16" t="n">
        <v>0.2</v>
      </c>
      <c r="N286" s="15" t="n">
        <v>47.96</v>
      </c>
      <c r="O286" s="17" t="str">
        <f aca="false">UPPER(LEFT(F286,3))&amp;"-"&amp;G286</f>
        <v>ORE-97206</v>
      </c>
      <c r="P286" s="17" t="str">
        <f aca="false">PROPER(TRIM(E286))</f>
        <v>Portland</v>
      </c>
      <c r="Q286" s="17" t="str">
        <f aca="false">IFERROR(VLOOKUP(F286,Lookups!$A$2:$B$50,2,FALSE()),"Not found")</f>
        <v>West</v>
      </c>
      <c r="R286" s="17" t="str">
        <f aca="false">IF(Q286=H286,"Match","Mismatch")</f>
        <v>Match</v>
      </c>
      <c r="S286" s="17" t="str">
        <f aca="false">IFERROR(INDEX(SubCatCat,MATCH(J286,SubCatName,0)),"Not found")</f>
        <v>Technology</v>
      </c>
      <c r="T286" s="18" t="n">
        <f aca="false">IF(K286=0,0,N286/K286)</f>
        <v>0.2</v>
      </c>
      <c r="U286" s="17" t="str">
        <f aca="false">IF(N286&lt;0,"Loss",IF(T286&gt;=0.2,"High margin","Normal"))</f>
        <v>High margin</v>
      </c>
      <c r="V286" s="17" t="str">
        <f aca="false">IF(M286=0,"No discount",IF(M286&lt;=0.2,"Low",IF(M286&lt;=0.4,"Medium","High")))</f>
        <v>Low</v>
      </c>
      <c r="W286" s="17" t="str">
        <f aca="false">IF(OR(B286="Same Day",B286="First Class"),"Fast","Standard")</f>
        <v>Standard</v>
      </c>
      <c r="X286" s="19" t="n">
        <f aca="false">ROUND(K286/L286,2)</f>
        <v>47.96</v>
      </c>
    </row>
    <row r="287" customFormat="false" ht="15" hidden="false" customHeight="false" outlineLevel="0" collapsed="false">
      <c r="A287" s="14" t="n">
        <v>286</v>
      </c>
      <c r="B287" s="14" t="s">
        <v>139</v>
      </c>
      <c r="C287" s="14" t="s">
        <v>7</v>
      </c>
      <c r="D287" s="14" t="s">
        <v>128</v>
      </c>
      <c r="E287" s="14" t="s">
        <v>203</v>
      </c>
      <c r="F287" s="14" t="s">
        <v>204</v>
      </c>
      <c r="G287" s="14" t="n">
        <v>97206</v>
      </c>
      <c r="H287" s="14" t="s">
        <v>3</v>
      </c>
      <c r="I287" s="14" t="s">
        <v>137</v>
      </c>
      <c r="J287" s="14" t="s">
        <v>150</v>
      </c>
      <c r="K287" s="15" t="n">
        <v>31.104</v>
      </c>
      <c r="L287" s="14" t="n">
        <v>6</v>
      </c>
      <c r="M287" s="16" t="n">
        <v>0.2</v>
      </c>
      <c r="N287" s="15" t="n">
        <v>10.8864</v>
      </c>
      <c r="O287" s="17" t="str">
        <f aca="false">UPPER(LEFT(F287,3))&amp;"-"&amp;G287</f>
        <v>ORE-97206</v>
      </c>
      <c r="P287" s="17" t="str">
        <f aca="false">PROPER(TRIM(E287))</f>
        <v>Portland</v>
      </c>
      <c r="Q287" s="17" t="str">
        <f aca="false">IFERROR(VLOOKUP(F287,Lookups!$A$2:$B$50,2,FALSE()),"Not found")</f>
        <v>West</v>
      </c>
      <c r="R287" s="17" t="str">
        <f aca="false">IF(Q287=H287,"Match","Mismatch")</f>
        <v>Match</v>
      </c>
      <c r="S287" s="17" t="str">
        <f aca="false">IFERROR(INDEX(SubCatCat,MATCH(J287,SubCatName,0)),"Not found")</f>
        <v>Office Supplies</v>
      </c>
      <c r="T287" s="18" t="n">
        <f aca="false">IF(K287=0,0,N287/K287)</f>
        <v>0.35</v>
      </c>
      <c r="U287" s="17" t="str">
        <f aca="false">IF(N287&lt;0,"Loss",IF(T287&gt;=0.2,"High margin","Normal"))</f>
        <v>High margin</v>
      </c>
      <c r="V287" s="17" t="str">
        <f aca="false">IF(M287=0,"No discount",IF(M287&lt;=0.2,"Low",IF(M287&lt;=0.4,"Medium","High")))</f>
        <v>Low</v>
      </c>
      <c r="W287" s="17" t="str">
        <f aca="false">IF(OR(B287="Same Day",B287="First Class"),"Fast","Standard")</f>
        <v>Standard</v>
      </c>
      <c r="X287" s="19" t="n">
        <f aca="false">ROUND(K287/L287,2)</f>
        <v>5.18</v>
      </c>
    </row>
    <row r="288" customFormat="false" ht="15" hidden="false" customHeight="false" outlineLevel="0" collapsed="false">
      <c r="A288" s="14" t="n">
        <v>287</v>
      </c>
      <c r="B288" s="14" t="s">
        <v>127</v>
      </c>
      <c r="C288" s="14" t="s">
        <v>135</v>
      </c>
      <c r="D288" s="14" t="s">
        <v>128</v>
      </c>
      <c r="E288" s="14" t="s">
        <v>259</v>
      </c>
      <c r="F288" s="14" t="s">
        <v>141</v>
      </c>
      <c r="G288" s="14" t="n">
        <v>33319</v>
      </c>
      <c r="H288" s="14" t="s">
        <v>131</v>
      </c>
      <c r="I288" s="14" t="s">
        <v>137</v>
      </c>
      <c r="J288" s="14" t="s">
        <v>146</v>
      </c>
      <c r="K288" s="15" t="n">
        <v>254.058</v>
      </c>
      <c r="L288" s="14" t="n">
        <v>7</v>
      </c>
      <c r="M288" s="16" t="n">
        <v>0.7</v>
      </c>
      <c r="N288" s="15" t="n">
        <v>-169.372</v>
      </c>
      <c r="O288" s="17" t="str">
        <f aca="false">UPPER(LEFT(F288,3))&amp;"-"&amp;G288</f>
        <v>FLO-33319</v>
      </c>
      <c r="P288" s="17" t="str">
        <f aca="false">PROPER(TRIM(E288))</f>
        <v>Tamarac</v>
      </c>
      <c r="Q288" s="17" t="str">
        <f aca="false">IFERROR(VLOOKUP(F288,Lookups!$A$2:$B$50,2,FALSE()),"Not found")</f>
        <v>South</v>
      </c>
      <c r="R288" s="17" t="str">
        <f aca="false">IF(Q288=H288,"Match","Mismatch")</f>
        <v>Match</v>
      </c>
      <c r="S288" s="17" t="str">
        <f aca="false">IFERROR(INDEX(SubCatCat,MATCH(J288,SubCatName,0)),"Not found")</f>
        <v>Office Supplies</v>
      </c>
      <c r="T288" s="18" t="n">
        <f aca="false">IF(K288=0,0,N288/K288)</f>
        <v>-0.666666666666667</v>
      </c>
      <c r="U288" s="17" t="str">
        <f aca="false">IF(N288&lt;0,"Loss",IF(T288&gt;=0.2,"High margin","Normal"))</f>
        <v>Loss</v>
      </c>
      <c r="V288" s="17" t="str">
        <f aca="false">IF(M288=0,"No discount",IF(M288&lt;=0.2,"Low",IF(M288&lt;=0.4,"Medium","High")))</f>
        <v>High</v>
      </c>
      <c r="W288" s="17" t="str">
        <f aca="false">IF(OR(B288="Same Day",B288="First Class"),"Fast","Standard")</f>
        <v>Standard</v>
      </c>
      <c r="X288" s="19" t="n">
        <f aca="false">ROUND(K288/L288,2)</f>
        <v>36.29</v>
      </c>
    </row>
    <row r="289" customFormat="false" ht="15" hidden="false" customHeight="false" outlineLevel="0" collapsed="false">
      <c r="A289" s="14" t="n">
        <v>288</v>
      </c>
      <c r="B289" s="14" t="s">
        <v>127</v>
      </c>
      <c r="C289" s="14" t="s">
        <v>135</v>
      </c>
      <c r="D289" s="14" t="s">
        <v>128</v>
      </c>
      <c r="E289" s="14" t="s">
        <v>259</v>
      </c>
      <c r="F289" s="14" t="s">
        <v>141</v>
      </c>
      <c r="G289" s="14" t="n">
        <v>33319</v>
      </c>
      <c r="H289" s="14" t="s">
        <v>131</v>
      </c>
      <c r="I289" s="14" t="s">
        <v>137</v>
      </c>
      <c r="J289" s="14" t="s">
        <v>147</v>
      </c>
      <c r="K289" s="15" t="n">
        <v>194.528</v>
      </c>
      <c r="L289" s="14" t="n">
        <v>2</v>
      </c>
      <c r="M289" s="16" t="n">
        <v>0.2</v>
      </c>
      <c r="N289" s="15" t="n">
        <v>24.316</v>
      </c>
      <c r="O289" s="17" t="str">
        <f aca="false">UPPER(LEFT(F289,3))&amp;"-"&amp;G289</f>
        <v>FLO-33319</v>
      </c>
      <c r="P289" s="17" t="str">
        <f aca="false">PROPER(TRIM(E289))</f>
        <v>Tamarac</v>
      </c>
      <c r="Q289" s="17" t="str">
        <f aca="false">IFERROR(VLOOKUP(F289,Lookups!$A$2:$B$50,2,FALSE()),"Not found")</f>
        <v>South</v>
      </c>
      <c r="R289" s="17" t="str">
        <f aca="false">IF(Q289=H289,"Match","Mismatch")</f>
        <v>Match</v>
      </c>
      <c r="S289" s="17" t="str">
        <f aca="false">IFERROR(INDEX(SubCatCat,MATCH(J289,SubCatName,0)),"Not found")</f>
        <v>Office Supplies</v>
      </c>
      <c r="T289" s="18" t="n">
        <f aca="false">IF(K289=0,0,N289/K289)</f>
        <v>0.125</v>
      </c>
      <c r="U289" s="17" t="str">
        <f aca="false">IF(N289&lt;0,"Loss",IF(T289&gt;=0.2,"High margin","Normal"))</f>
        <v>Normal</v>
      </c>
      <c r="V289" s="17" t="str">
        <f aca="false">IF(M289=0,"No discount",IF(M289&lt;=0.2,"Low",IF(M289&lt;=0.4,"Medium","High")))</f>
        <v>Low</v>
      </c>
      <c r="W289" s="17" t="str">
        <f aca="false">IF(OR(B289="Same Day",B289="First Class"),"Fast","Standard")</f>
        <v>Standard</v>
      </c>
      <c r="X289" s="19" t="n">
        <f aca="false">ROUND(K289/L289,2)</f>
        <v>97.26</v>
      </c>
    </row>
    <row r="290" customFormat="false" ht="15" hidden="false" customHeight="false" outlineLevel="0" collapsed="false">
      <c r="A290" s="14" t="n">
        <v>289</v>
      </c>
      <c r="B290" s="14" t="s">
        <v>127</v>
      </c>
      <c r="C290" s="14" t="s">
        <v>135</v>
      </c>
      <c r="D290" s="14" t="s">
        <v>128</v>
      </c>
      <c r="E290" s="14" t="s">
        <v>259</v>
      </c>
      <c r="F290" s="14" t="s">
        <v>141</v>
      </c>
      <c r="G290" s="14" t="n">
        <v>33319</v>
      </c>
      <c r="H290" s="14" t="s">
        <v>131</v>
      </c>
      <c r="I290" s="14" t="s">
        <v>137</v>
      </c>
      <c r="J290" s="14" t="s">
        <v>219</v>
      </c>
      <c r="K290" s="15" t="n">
        <v>961.48</v>
      </c>
      <c r="L290" s="14" t="n">
        <v>5</v>
      </c>
      <c r="M290" s="16" t="n">
        <v>0.2</v>
      </c>
      <c r="N290" s="15" t="n">
        <v>-204.3145</v>
      </c>
      <c r="O290" s="17" t="str">
        <f aca="false">UPPER(LEFT(F290,3))&amp;"-"&amp;G290</f>
        <v>FLO-33319</v>
      </c>
      <c r="P290" s="17" t="str">
        <f aca="false">PROPER(TRIM(E290))</f>
        <v>Tamarac</v>
      </c>
      <c r="Q290" s="17" t="str">
        <f aca="false">IFERROR(VLOOKUP(F290,Lookups!$A$2:$B$50,2,FALSE()),"Not found")</f>
        <v>South</v>
      </c>
      <c r="R290" s="17" t="str">
        <f aca="false">IF(Q290=H290,"Match","Mismatch")</f>
        <v>Match</v>
      </c>
      <c r="S290" s="17" t="str">
        <f aca="false">IFERROR(INDEX(SubCatCat,MATCH(J290,SubCatName,0)),"Not found")</f>
        <v>Office Supplies</v>
      </c>
      <c r="T290" s="18" t="n">
        <f aca="false">IF(K290=0,0,N290/K290)</f>
        <v>-0.2125</v>
      </c>
      <c r="U290" s="17" t="str">
        <f aca="false">IF(N290&lt;0,"Loss",IF(T290&gt;=0.2,"High margin","Normal"))</f>
        <v>Loss</v>
      </c>
      <c r="V290" s="17" t="str">
        <f aca="false">IF(M290=0,"No discount",IF(M290&lt;=0.2,"Low",IF(M290&lt;=0.4,"Medium","High")))</f>
        <v>Low</v>
      </c>
      <c r="W290" s="17" t="str">
        <f aca="false">IF(OR(B290="Same Day",B290="First Class"),"Fast","Standard")</f>
        <v>Standard</v>
      </c>
      <c r="X290" s="19" t="n">
        <f aca="false">ROUND(K290/L290,2)</f>
        <v>192.3</v>
      </c>
    </row>
    <row r="291" customFormat="false" ht="15" hidden="false" customHeight="false" outlineLevel="0" collapsed="false">
      <c r="A291" s="14" t="n">
        <v>290</v>
      </c>
      <c r="B291" s="14" t="s">
        <v>127</v>
      </c>
      <c r="C291" s="14" t="s">
        <v>153</v>
      </c>
      <c r="D291" s="14" t="s">
        <v>128</v>
      </c>
      <c r="E291" s="14" t="s">
        <v>212</v>
      </c>
      <c r="F291" s="14" t="s">
        <v>213</v>
      </c>
      <c r="G291" s="14" t="n">
        <v>43229</v>
      </c>
      <c r="H291" s="14" t="s">
        <v>166</v>
      </c>
      <c r="I291" s="14" t="s">
        <v>137</v>
      </c>
      <c r="J291" s="14" t="s">
        <v>186</v>
      </c>
      <c r="K291" s="15" t="n">
        <v>19.096</v>
      </c>
      <c r="L291" s="14" t="n">
        <v>7</v>
      </c>
      <c r="M291" s="16" t="n">
        <v>0.2</v>
      </c>
      <c r="N291" s="15" t="n">
        <v>6.6836</v>
      </c>
      <c r="O291" s="17" t="str">
        <f aca="false">UPPER(LEFT(F291,3))&amp;"-"&amp;G291</f>
        <v>OHI-43229</v>
      </c>
      <c r="P291" s="17" t="str">
        <f aca="false">PROPER(TRIM(E291))</f>
        <v>Columbus</v>
      </c>
      <c r="Q291" s="17" t="str">
        <f aca="false">IFERROR(VLOOKUP(F291,Lookups!$A$2:$B$50,2,FALSE()),"Not found")</f>
        <v>East</v>
      </c>
      <c r="R291" s="17" t="str">
        <f aca="false">IF(Q291=H291,"Match","Mismatch")</f>
        <v>Match</v>
      </c>
      <c r="S291" s="17" t="str">
        <f aca="false">IFERROR(INDEX(SubCatCat,MATCH(J291,SubCatName,0)),"Not found")</f>
        <v>Office Supplies</v>
      </c>
      <c r="T291" s="18" t="n">
        <f aca="false">IF(K291=0,0,N291/K291)</f>
        <v>0.35</v>
      </c>
      <c r="U291" s="17" t="str">
        <f aca="false">IF(N291&lt;0,"Loss",IF(T291&gt;=0.2,"High margin","Normal"))</f>
        <v>High margin</v>
      </c>
      <c r="V291" s="17" t="str">
        <f aca="false">IF(M291=0,"No discount",IF(M291&lt;=0.2,"Low",IF(M291&lt;=0.4,"Medium","High")))</f>
        <v>Low</v>
      </c>
      <c r="W291" s="17" t="str">
        <f aca="false">IF(OR(B291="Same Day",B291="First Class"),"Fast","Standard")</f>
        <v>Standard</v>
      </c>
      <c r="X291" s="19" t="n">
        <f aca="false">ROUND(K291/L291,2)</f>
        <v>2.73</v>
      </c>
    </row>
    <row r="292" customFormat="false" ht="15" hidden="false" customHeight="false" outlineLevel="0" collapsed="false">
      <c r="A292" s="14" t="n">
        <v>291</v>
      </c>
      <c r="B292" s="14" t="s">
        <v>127</v>
      </c>
      <c r="C292" s="14" t="s">
        <v>153</v>
      </c>
      <c r="D292" s="14" t="s">
        <v>128</v>
      </c>
      <c r="E292" s="14" t="s">
        <v>212</v>
      </c>
      <c r="F292" s="14" t="s">
        <v>213</v>
      </c>
      <c r="G292" s="14" t="n">
        <v>43229</v>
      </c>
      <c r="H292" s="14" t="s">
        <v>166</v>
      </c>
      <c r="I292" s="14" t="s">
        <v>137</v>
      </c>
      <c r="J292" s="14" t="s">
        <v>138</v>
      </c>
      <c r="K292" s="15" t="n">
        <v>18.496</v>
      </c>
      <c r="L292" s="14" t="n">
        <v>8</v>
      </c>
      <c r="M292" s="16" t="n">
        <v>0.2</v>
      </c>
      <c r="N292" s="15" t="n">
        <v>6.2424</v>
      </c>
      <c r="O292" s="17" t="str">
        <f aca="false">UPPER(LEFT(F292,3))&amp;"-"&amp;G292</f>
        <v>OHI-43229</v>
      </c>
      <c r="P292" s="17" t="str">
        <f aca="false">PROPER(TRIM(E292))</f>
        <v>Columbus</v>
      </c>
      <c r="Q292" s="17" t="str">
        <f aca="false">IFERROR(VLOOKUP(F292,Lookups!$A$2:$B$50,2,FALSE()),"Not found")</f>
        <v>East</v>
      </c>
      <c r="R292" s="17" t="str">
        <f aca="false">IF(Q292=H292,"Match","Mismatch")</f>
        <v>Match</v>
      </c>
      <c r="S292" s="17" t="str">
        <f aca="false">IFERROR(INDEX(SubCatCat,MATCH(J292,SubCatName,0)),"Not found")</f>
        <v>Office Supplies</v>
      </c>
      <c r="T292" s="18" t="n">
        <f aca="false">IF(K292=0,0,N292/K292)</f>
        <v>0.3375</v>
      </c>
      <c r="U292" s="17" t="str">
        <f aca="false">IF(N292&lt;0,"Loss",IF(T292&gt;=0.2,"High margin","Normal"))</f>
        <v>High margin</v>
      </c>
      <c r="V292" s="17" t="str">
        <f aca="false">IF(M292=0,"No discount",IF(M292&lt;=0.2,"Low",IF(M292&lt;=0.4,"Medium","High")))</f>
        <v>Low</v>
      </c>
      <c r="W292" s="17" t="str">
        <f aca="false">IF(OR(B292="Same Day",B292="First Class"),"Fast","Standard")</f>
        <v>Standard</v>
      </c>
      <c r="X292" s="19" t="n">
        <f aca="false">ROUND(K292/L292,2)</f>
        <v>2.31</v>
      </c>
    </row>
    <row r="293" customFormat="false" ht="15" hidden="false" customHeight="false" outlineLevel="0" collapsed="false">
      <c r="A293" s="14" t="n">
        <v>292</v>
      </c>
      <c r="B293" s="14" t="s">
        <v>127</v>
      </c>
      <c r="C293" s="14" t="s">
        <v>153</v>
      </c>
      <c r="D293" s="14" t="s">
        <v>128</v>
      </c>
      <c r="E293" s="14" t="s">
        <v>212</v>
      </c>
      <c r="F293" s="14" t="s">
        <v>213</v>
      </c>
      <c r="G293" s="14" t="n">
        <v>43229</v>
      </c>
      <c r="H293" s="14" t="s">
        <v>166</v>
      </c>
      <c r="I293" s="14" t="s">
        <v>5</v>
      </c>
      <c r="J293" s="14" t="s">
        <v>168</v>
      </c>
      <c r="K293" s="15" t="n">
        <v>255.984</v>
      </c>
      <c r="L293" s="14" t="n">
        <v>2</v>
      </c>
      <c r="M293" s="16" t="n">
        <v>0.2</v>
      </c>
      <c r="N293" s="15" t="n">
        <v>54.3966</v>
      </c>
      <c r="O293" s="17" t="str">
        <f aca="false">UPPER(LEFT(F293,3))&amp;"-"&amp;G293</f>
        <v>OHI-43229</v>
      </c>
      <c r="P293" s="17" t="str">
        <f aca="false">PROPER(TRIM(E293))</f>
        <v>Columbus</v>
      </c>
      <c r="Q293" s="17" t="str">
        <f aca="false">IFERROR(VLOOKUP(F293,Lookups!$A$2:$B$50,2,FALSE()),"Not found")</f>
        <v>East</v>
      </c>
      <c r="R293" s="17" t="str">
        <f aca="false">IF(Q293=H293,"Match","Mismatch")</f>
        <v>Match</v>
      </c>
      <c r="S293" s="17" t="str">
        <f aca="false">IFERROR(INDEX(SubCatCat,MATCH(J293,SubCatName,0)),"Not found")</f>
        <v>Technology</v>
      </c>
      <c r="T293" s="18" t="n">
        <f aca="false">IF(K293=0,0,N293/K293)</f>
        <v>0.2125</v>
      </c>
      <c r="U293" s="17" t="str">
        <f aca="false">IF(N293&lt;0,"Loss",IF(T293&gt;=0.2,"High margin","Normal"))</f>
        <v>High margin</v>
      </c>
      <c r="V293" s="17" t="str">
        <f aca="false">IF(M293=0,"No discount",IF(M293&lt;=0.2,"Low",IF(M293&lt;=0.4,"Medium","High")))</f>
        <v>Low</v>
      </c>
      <c r="W293" s="17" t="str">
        <f aca="false">IF(OR(B293="Same Day",B293="First Class"),"Fast","Standard")</f>
        <v>Standard</v>
      </c>
      <c r="X293" s="19" t="n">
        <f aca="false">ROUND(K293/L293,2)</f>
        <v>127.99</v>
      </c>
    </row>
    <row r="294" customFormat="false" ht="15" hidden="false" customHeight="false" outlineLevel="0" collapsed="false">
      <c r="A294" s="14" t="n">
        <v>293</v>
      </c>
      <c r="B294" s="14" t="s">
        <v>127</v>
      </c>
      <c r="C294" s="14" t="s">
        <v>153</v>
      </c>
      <c r="D294" s="14" t="s">
        <v>128</v>
      </c>
      <c r="E294" s="14" t="s">
        <v>212</v>
      </c>
      <c r="F294" s="14" t="s">
        <v>213</v>
      </c>
      <c r="G294" s="14" t="n">
        <v>43229</v>
      </c>
      <c r="H294" s="14" t="s">
        <v>166</v>
      </c>
      <c r="I294" s="14" t="s">
        <v>132</v>
      </c>
      <c r="J294" s="14" t="s">
        <v>133</v>
      </c>
      <c r="K294" s="15" t="n">
        <v>86.97</v>
      </c>
      <c r="L294" s="14" t="n">
        <v>3</v>
      </c>
      <c r="M294" s="16" t="n">
        <v>0.5</v>
      </c>
      <c r="N294" s="15" t="n">
        <v>-48.7032</v>
      </c>
      <c r="O294" s="17" t="str">
        <f aca="false">UPPER(LEFT(F294,3))&amp;"-"&amp;G294</f>
        <v>OHI-43229</v>
      </c>
      <c r="P294" s="17" t="str">
        <f aca="false">PROPER(TRIM(E294))</f>
        <v>Columbus</v>
      </c>
      <c r="Q294" s="17" t="str">
        <f aca="false">IFERROR(VLOOKUP(F294,Lookups!$A$2:$B$50,2,FALSE()),"Not found")</f>
        <v>East</v>
      </c>
      <c r="R294" s="17" t="str">
        <f aca="false">IF(Q294=H294,"Match","Mismatch")</f>
        <v>Match</v>
      </c>
      <c r="S294" s="17" t="str">
        <f aca="false">IFERROR(INDEX(SubCatCat,MATCH(J294,SubCatName,0)),"Not found")</f>
        <v>Furniture</v>
      </c>
      <c r="T294" s="18" t="n">
        <f aca="false">IF(K294=0,0,N294/K294)</f>
        <v>-0.56</v>
      </c>
      <c r="U294" s="17" t="str">
        <f aca="false">IF(N294&lt;0,"Loss",IF(T294&gt;=0.2,"High margin","Normal"))</f>
        <v>Loss</v>
      </c>
      <c r="V294" s="17" t="str">
        <f aca="false">IF(M294=0,"No discount",IF(M294&lt;=0.2,"Low",IF(M294&lt;=0.4,"Medium","High")))</f>
        <v>High</v>
      </c>
      <c r="W294" s="17" t="str">
        <f aca="false">IF(OR(B294="Same Day",B294="First Class"),"Fast","Standard")</f>
        <v>Standard</v>
      </c>
      <c r="X294" s="19" t="n">
        <f aca="false">ROUND(K294/L294,2)</f>
        <v>28.99</v>
      </c>
    </row>
    <row r="295" customFormat="false" ht="15" hidden="false" customHeight="false" outlineLevel="0" collapsed="false">
      <c r="A295" s="14" t="n">
        <v>294</v>
      </c>
      <c r="B295" s="14" t="s">
        <v>171</v>
      </c>
      <c r="C295" s="14" t="s">
        <v>135</v>
      </c>
      <c r="D295" s="14" t="s">
        <v>128</v>
      </c>
      <c r="E295" s="14" t="s">
        <v>260</v>
      </c>
      <c r="F295" s="14" t="s">
        <v>207</v>
      </c>
      <c r="G295" s="14" t="n">
        <v>80906</v>
      </c>
      <c r="H295" s="14" t="s">
        <v>3</v>
      </c>
      <c r="I295" s="14" t="s">
        <v>132</v>
      </c>
      <c r="J295" s="14" t="s">
        <v>144</v>
      </c>
      <c r="K295" s="15" t="n">
        <v>300.416</v>
      </c>
      <c r="L295" s="14" t="n">
        <v>8</v>
      </c>
      <c r="M295" s="16" t="n">
        <v>0.2</v>
      </c>
      <c r="N295" s="15" t="n">
        <v>78.8592</v>
      </c>
      <c r="O295" s="17" t="str">
        <f aca="false">UPPER(LEFT(F295,3))&amp;"-"&amp;G295</f>
        <v>COL-80906</v>
      </c>
      <c r="P295" s="17" t="str">
        <f aca="false">PROPER(TRIM(E295))</f>
        <v>Colorado Springs</v>
      </c>
      <c r="Q295" s="17" t="str">
        <f aca="false">IFERROR(VLOOKUP(F295,Lookups!$A$2:$B$50,2,FALSE()),"Not found")</f>
        <v>West</v>
      </c>
      <c r="R295" s="17" t="str">
        <f aca="false">IF(Q295=H295,"Match","Mismatch")</f>
        <v>Match</v>
      </c>
      <c r="S295" s="17" t="str">
        <f aca="false">IFERROR(INDEX(SubCatCat,MATCH(J295,SubCatName,0)),"Not found")</f>
        <v>Furniture</v>
      </c>
      <c r="T295" s="18" t="n">
        <f aca="false">IF(K295=0,0,N295/K295)</f>
        <v>0.2625</v>
      </c>
      <c r="U295" s="17" t="str">
        <f aca="false">IF(N295&lt;0,"Loss",IF(T295&gt;=0.2,"High margin","Normal"))</f>
        <v>High margin</v>
      </c>
      <c r="V295" s="17" t="str">
        <f aca="false">IF(M295=0,"No discount",IF(M295&lt;=0.2,"Low",IF(M295&lt;=0.4,"Medium","High")))</f>
        <v>Low</v>
      </c>
      <c r="W295" s="17" t="str">
        <f aca="false">IF(OR(B295="Same Day",B295="First Class"),"Fast","Standard")</f>
        <v>Fast</v>
      </c>
      <c r="X295" s="19" t="n">
        <f aca="false">ROUND(K295/L295,2)</f>
        <v>37.55</v>
      </c>
    </row>
    <row r="296" customFormat="false" ht="15" hidden="false" customHeight="false" outlineLevel="0" collapsed="false">
      <c r="A296" s="14" t="n">
        <v>295</v>
      </c>
      <c r="B296" s="14" t="s">
        <v>171</v>
      </c>
      <c r="C296" s="14" t="s">
        <v>135</v>
      </c>
      <c r="D296" s="14" t="s">
        <v>128</v>
      </c>
      <c r="E296" s="14" t="s">
        <v>260</v>
      </c>
      <c r="F296" s="14" t="s">
        <v>207</v>
      </c>
      <c r="G296" s="14" t="n">
        <v>80906</v>
      </c>
      <c r="H296" s="14" t="s">
        <v>3</v>
      </c>
      <c r="I296" s="14" t="s">
        <v>132</v>
      </c>
      <c r="J296" s="14" t="s">
        <v>134</v>
      </c>
      <c r="K296" s="15" t="n">
        <v>230.352</v>
      </c>
      <c r="L296" s="14" t="n">
        <v>3</v>
      </c>
      <c r="M296" s="16" t="n">
        <v>0.2</v>
      </c>
      <c r="N296" s="15" t="n">
        <v>20.1558</v>
      </c>
      <c r="O296" s="17" t="str">
        <f aca="false">UPPER(LEFT(F296,3))&amp;"-"&amp;G296</f>
        <v>COL-80906</v>
      </c>
      <c r="P296" s="17" t="str">
        <f aca="false">PROPER(TRIM(E296))</f>
        <v>Colorado Springs</v>
      </c>
      <c r="Q296" s="17" t="str">
        <f aca="false">IFERROR(VLOOKUP(F296,Lookups!$A$2:$B$50,2,FALSE()),"Not found")</f>
        <v>West</v>
      </c>
      <c r="R296" s="17" t="str">
        <f aca="false">IF(Q296=H296,"Match","Mismatch")</f>
        <v>Match</v>
      </c>
      <c r="S296" s="17" t="str">
        <f aca="false">IFERROR(INDEX(SubCatCat,MATCH(J296,SubCatName,0)),"Not found")</f>
        <v>Furniture</v>
      </c>
      <c r="T296" s="18" t="n">
        <f aca="false">IF(K296=0,0,N296/K296)</f>
        <v>0.0875</v>
      </c>
      <c r="U296" s="17" t="str">
        <f aca="false">IF(N296&lt;0,"Loss",IF(T296&gt;=0.2,"High margin","Normal"))</f>
        <v>Normal</v>
      </c>
      <c r="V296" s="17" t="str">
        <f aca="false">IF(M296=0,"No discount",IF(M296&lt;=0.2,"Low",IF(M296&lt;=0.4,"Medium","High")))</f>
        <v>Low</v>
      </c>
      <c r="W296" s="17" t="str">
        <f aca="false">IF(OR(B296="Same Day",B296="First Class"),"Fast","Standard")</f>
        <v>Fast</v>
      </c>
      <c r="X296" s="19" t="n">
        <f aca="false">ROUND(K296/L296,2)</f>
        <v>76.78</v>
      </c>
    </row>
    <row r="297" customFormat="false" ht="15" hidden="false" customHeight="false" outlineLevel="0" collapsed="false">
      <c r="A297" s="14" t="n">
        <v>296</v>
      </c>
      <c r="B297" s="14" t="s">
        <v>171</v>
      </c>
      <c r="C297" s="14" t="s">
        <v>135</v>
      </c>
      <c r="D297" s="14" t="s">
        <v>128</v>
      </c>
      <c r="E297" s="14" t="s">
        <v>260</v>
      </c>
      <c r="F297" s="14" t="s">
        <v>207</v>
      </c>
      <c r="G297" s="14" t="n">
        <v>80906</v>
      </c>
      <c r="H297" s="14" t="s">
        <v>3</v>
      </c>
      <c r="I297" s="14" t="s">
        <v>132</v>
      </c>
      <c r="J297" s="14" t="s">
        <v>144</v>
      </c>
      <c r="K297" s="15" t="n">
        <v>218.352</v>
      </c>
      <c r="L297" s="14" t="n">
        <v>3</v>
      </c>
      <c r="M297" s="16" t="n">
        <v>0.2</v>
      </c>
      <c r="N297" s="15" t="n">
        <v>-24.5646</v>
      </c>
      <c r="O297" s="17" t="str">
        <f aca="false">UPPER(LEFT(F297,3))&amp;"-"&amp;G297</f>
        <v>COL-80906</v>
      </c>
      <c r="P297" s="17" t="str">
        <f aca="false">PROPER(TRIM(E297))</f>
        <v>Colorado Springs</v>
      </c>
      <c r="Q297" s="17" t="str">
        <f aca="false">IFERROR(VLOOKUP(F297,Lookups!$A$2:$B$50,2,FALSE()),"Not found")</f>
        <v>West</v>
      </c>
      <c r="R297" s="17" t="str">
        <f aca="false">IF(Q297=H297,"Match","Mismatch")</f>
        <v>Match</v>
      </c>
      <c r="S297" s="17" t="str">
        <f aca="false">IFERROR(INDEX(SubCatCat,MATCH(J297,SubCatName,0)),"Not found")</f>
        <v>Furniture</v>
      </c>
      <c r="T297" s="18" t="n">
        <f aca="false">IF(K297=0,0,N297/K297)</f>
        <v>-0.1125</v>
      </c>
      <c r="U297" s="17" t="str">
        <f aca="false">IF(N297&lt;0,"Loss",IF(T297&gt;=0.2,"High margin","Normal"))</f>
        <v>Loss</v>
      </c>
      <c r="V297" s="17" t="str">
        <f aca="false">IF(M297=0,"No discount",IF(M297&lt;=0.2,"Low",IF(M297&lt;=0.4,"Medium","High")))</f>
        <v>Low</v>
      </c>
      <c r="W297" s="17" t="str">
        <f aca="false">IF(OR(B297="Same Day",B297="First Class"),"Fast","Standard")</f>
        <v>Fast</v>
      </c>
      <c r="X297" s="19" t="n">
        <f aca="false">ROUND(K297/L297,2)</f>
        <v>72.78</v>
      </c>
    </row>
    <row r="298" customFormat="false" ht="15" hidden="false" customHeight="false" outlineLevel="0" collapsed="false">
      <c r="A298" s="14" t="n">
        <v>297</v>
      </c>
      <c r="B298" s="14" t="s">
        <v>171</v>
      </c>
      <c r="C298" s="14" t="s">
        <v>135</v>
      </c>
      <c r="D298" s="14" t="s">
        <v>128</v>
      </c>
      <c r="E298" s="14" t="s">
        <v>260</v>
      </c>
      <c r="F298" s="14" t="s">
        <v>207</v>
      </c>
      <c r="G298" s="14" t="n">
        <v>80906</v>
      </c>
      <c r="H298" s="14" t="s">
        <v>3</v>
      </c>
      <c r="I298" s="14" t="s">
        <v>137</v>
      </c>
      <c r="J298" s="14" t="s">
        <v>146</v>
      </c>
      <c r="K298" s="15" t="n">
        <v>78.6</v>
      </c>
      <c r="L298" s="14" t="n">
        <v>5</v>
      </c>
      <c r="M298" s="16" t="n">
        <v>0.7</v>
      </c>
      <c r="N298" s="15" t="n">
        <v>-62.88</v>
      </c>
      <c r="O298" s="17" t="str">
        <f aca="false">UPPER(LEFT(F298,3))&amp;"-"&amp;G298</f>
        <v>COL-80906</v>
      </c>
      <c r="P298" s="17" t="str">
        <f aca="false">PROPER(TRIM(E298))</f>
        <v>Colorado Springs</v>
      </c>
      <c r="Q298" s="17" t="str">
        <f aca="false">IFERROR(VLOOKUP(F298,Lookups!$A$2:$B$50,2,FALSE()),"Not found")</f>
        <v>West</v>
      </c>
      <c r="R298" s="17" t="str">
        <f aca="false">IF(Q298=H298,"Match","Mismatch")</f>
        <v>Match</v>
      </c>
      <c r="S298" s="17" t="str">
        <f aca="false">IFERROR(INDEX(SubCatCat,MATCH(J298,SubCatName,0)),"Not found")</f>
        <v>Office Supplies</v>
      </c>
      <c r="T298" s="18" t="n">
        <f aca="false">IF(K298=0,0,N298/K298)</f>
        <v>-0.8</v>
      </c>
      <c r="U298" s="17" t="str">
        <f aca="false">IF(N298&lt;0,"Loss",IF(T298&gt;=0.2,"High margin","Normal"))</f>
        <v>Loss</v>
      </c>
      <c r="V298" s="17" t="str">
        <f aca="false">IF(M298=0,"No discount",IF(M298&lt;=0.2,"Low",IF(M298&lt;=0.4,"Medium","High")))</f>
        <v>High</v>
      </c>
      <c r="W298" s="17" t="str">
        <f aca="false">IF(OR(B298="Same Day",B298="First Class"),"Fast","Standard")</f>
        <v>Fast</v>
      </c>
      <c r="X298" s="19" t="n">
        <f aca="false">ROUND(K298/L298,2)</f>
        <v>15.72</v>
      </c>
    </row>
    <row r="299" customFormat="false" ht="15" hidden="false" customHeight="false" outlineLevel="0" collapsed="false">
      <c r="A299" s="14" t="n">
        <v>298</v>
      </c>
      <c r="B299" s="14" t="s">
        <v>171</v>
      </c>
      <c r="C299" s="14" t="s">
        <v>135</v>
      </c>
      <c r="D299" s="14" t="s">
        <v>128</v>
      </c>
      <c r="E299" s="14" t="s">
        <v>260</v>
      </c>
      <c r="F299" s="14" t="s">
        <v>207</v>
      </c>
      <c r="G299" s="14" t="n">
        <v>80906</v>
      </c>
      <c r="H299" s="14" t="s">
        <v>3</v>
      </c>
      <c r="I299" s="14" t="s">
        <v>137</v>
      </c>
      <c r="J299" s="14" t="s">
        <v>186</v>
      </c>
      <c r="K299" s="15" t="n">
        <v>27.552</v>
      </c>
      <c r="L299" s="14" t="n">
        <v>3</v>
      </c>
      <c r="M299" s="16" t="n">
        <v>0.2</v>
      </c>
      <c r="N299" s="15" t="n">
        <v>9.2988</v>
      </c>
      <c r="O299" s="17" t="str">
        <f aca="false">UPPER(LEFT(F299,3))&amp;"-"&amp;G299</f>
        <v>COL-80906</v>
      </c>
      <c r="P299" s="17" t="str">
        <f aca="false">PROPER(TRIM(E299))</f>
        <v>Colorado Springs</v>
      </c>
      <c r="Q299" s="17" t="str">
        <f aca="false">IFERROR(VLOOKUP(F299,Lookups!$A$2:$B$50,2,FALSE()),"Not found")</f>
        <v>West</v>
      </c>
      <c r="R299" s="17" t="str">
        <f aca="false">IF(Q299=H299,"Match","Mismatch")</f>
        <v>Match</v>
      </c>
      <c r="S299" s="17" t="str">
        <f aca="false">IFERROR(INDEX(SubCatCat,MATCH(J299,SubCatName,0)),"Not found")</f>
        <v>Office Supplies</v>
      </c>
      <c r="T299" s="18" t="n">
        <f aca="false">IF(K299=0,0,N299/K299)</f>
        <v>0.3375</v>
      </c>
      <c r="U299" s="17" t="str">
        <f aca="false">IF(N299&lt;0,"Loss",IF(T299&gt;=0.2,"High margin","Normal"))</f>
        <v>High margin</v>
      </c>
      <c r="V299" s="17" t="str">
        <f aca="false">IF(M299=0,"No discount",IF(M299&lt;=0.2,"Low",IF(M299&lt;=0.4,"Medium","High")))</f>
        <v>Low</v>
      </c>
      <c r="W299" s="17" t="str">
        <f aca="false">IF(OR(B299="Same Day",B299="First Class"),"Fast","Standard")</f>
        <v>Fast</v>
      </c>
      <c r="X299" s="19" t="n">
        <f aca="false">ROUND(K299/L299,2)</f>
        <v>9.18</v>
      </c>
    </row>
    <row r="300" customFormat="false" ht="15" hidden="false" customHeight="false" outlineLevel="0" collapsed="false">
      <c r="A300" s="14" t="n">
        <v>299</v>
      </c>
      <c r="B300" s="14" t="s">
        <v>139</v>
      </c>
      <c r="C300" s="14" t="s">
        <v>135</v>
      </c>
      <c r="D300" s="14" t="s">
        <v>128</v>
      </c>
      <c r="E300" s="14" t="s">
        <v>261</v>
      </c>
      <c r="F300" s="14" t="s">
        <v>241</v>
      </c>
      <c r="G300" s="14" t="n">
        <v>7109</v>
      </c>
      <c r="H300" s="14" t="s">
        <v>166</v>
      </c>
      <c r="I300" s="14" t="s">
        <v>137</v>
      </c>
      <c r="J300" s="14" t="s">
        <v>150</v>
      </c>
      <c r="K300" s="15" t="n">
        <v>32.4</v>
      </c>
      <c r="L300" s="14" t="n">
        <v>5</v>
      </c>
      <c r="M300" s="16" t="n">
        <v>0</v>
      </c>
      <c r="N300" s="15" t="n">
        <v>15.552</v>
      </c>
      <c r="O300" s="17" t="str">
        <f aca="false">UPPER(LEFT(F300,3))&amp;"-"&amp;G300</f>
        <v>NEW-7109</v>
      </c>
      <c r="P300" s="17" t="str">
        <f aca="false">PROPER(TRIM(E300))</f>
        <v>Belleville</v>
      </c>
      <c r="Q300" s="17" t="str">
        <f aca="false">IFERROR(VLOOKUP(F300,Lookups!$A$2:$B$50,2,FALSE()),"Not found")</f>
        <v>East</v>
      </c>
      <c r="R300" s="17" t="str">
        <f aca="false">IF(Q300=H300,"Match","Mismatch")</f>
        <v>Match</v>
      </c>
      <c r="S300" s="17" t="str">
        <f aca="false">IFERROR(INDEX(SubCatCat,MATCH(J300,SubCatName,0)),"Not found")</f>
        <v>Office Supplies</v>
      </c>
      <c r="T300" s="18" t="n">
        <f aca="false">IF(K300=0,0,N300/K300)</f>
        <v>0.48</v>
      </c>
      <c r="U300" s="17" t="str">
        <f aca="false">IF(N300&lt;0,"Loss",IF(T300&gt;=0.2,"High margin","Normal"))</f>
        <v>High margin</v>
      </c>
      <c r="V300" s="17" t="str">
        <f aca="false">IF(M300=0,"No discount",IF(M300&lt;=0.2,"Low",IF(M300&lt;=0.4,"Medium","High")))</f>
        <v>No discount</v>
      </c>
      <c r="W300" s="17" t="str">
        <f aca="false">IF(OR(B300="Same Day",B300="First Class"),"Fast","Standard")</f>
        <v>Standard</v>
      </c>
      <c r="X300" s="19" t="n">
        <f aca="false">ROUND(K300/L300,2)</f>
        <v>6.48</v>
      </c>
    </row>
    <row r="301" customFormat="false" ht="15" hidden="false" customHeight="false" outlineLevel="0" collapsed="false">
      <c r="A301" s="14" t="n">
        <v>300</v>
      </c>
      <c r="B301" s="14" t="s">
        <v>139</v>
      </c>
      <c r="C301" s="14" t="s">
        <v>135</v>
      </c>
      <c r="D301" s="14" t="s">
        <v>128</v>
      </c>
      <c r="E301" s="14" t="s">
        <v>261</v>
      </c>
      <c r="F301" s="14" t="s">
        <v>241</v>
      </c>
      <c r="G301" s="14" t="n">
        <v>7109</v>
      </c>
      <c r="H301" s="14" t="s">
        <v>166</v>
      </c>
      <c r="I301" s="14" t="s">
        <v>137</v>
      </c>
      <c r="J301" s="14" t="s">
        <v>143</v>
      </c>
      <c r="K301" s="15" t="n">
        <v>1082.48</v>
      </c>
      <c r="L301" s="14" t="n">
        <v>8</v>
      </c>
      <c r="M301" s="16" t="n">
        <v>0</v>
      </c>
      <c r="N301" s="15" t="n">
        <v>10.8248</v>
      </c>
      <c r="O301" s="17" t="str">
        <f aca="false">UPPER(LEFT(F301,3))&amp;"-"&amp;G301</f>
        <v>NEW-7109</v>
      </c>
      <c r="P301" s="17" t="str">
        <f aca="false">PROPER(TRIM(E301))</f>
        <v>Belleville</v>
      </c>
      <c r="Q301" s="17" t="str">
        <f aca="false">IFERROR(VLOOKUP(F301,Lookups!$A$2:$B$50,2,FALSE()),"Not found")</f>
        <v>East</v>
      </c>
      <c r="R301" s="17" t="str">
        <f aca="false">IF(Q301=H301,"Match","Mismatch")</f>
        <v>Match</v>
      </c>
      <c r="S301" s="17" t="str">
        <f aca="false">IFERROR(INDEX(SubCatCat,MATCH(J301,SubCatName,0)),"Not found")</f>
        <v>Office Supplies</v>
      </c>
      <c r="T301" s="18" t="n">
        <f aca="false">IF(K301=0,0,N301/K301)</f>
        <v>0.01</v>
      </c>
      <c r="U301" s="17" t="str">
        <f aca="false">IF(N301&lt;0,"Loss",IF(T301&gt;=0.2,"High margin","Normal"))</f>
        <v>Normal</v>
      </c>
      <c r="V301" s="17" t="str">
        <f aca="false">IF(M301=0,"No discount",IF(M301&lt;=0.2,"Low",IF(M301&lt;=0.4,"Medium","High")))</f>
        <v>No discount</v>
      </c>
      <c r="W301" s="17" t="str">
        <f aca="false">IF(OR(B301="Same Day",B301="First Class"),"Fast","Standard")</f>
        <v>Standard</v>
      </c>
      <c r="X301" s="19" t="n">
        <f aca="false">ROUND(K301/L301,2)</f>
        <v>135.31</v>
      </c>
    </row>
    <row r="302" customFormat="false" ht="15" hidden="false" customHeight="false" outlineLevel="0" collapsed="false">
      <c r="A302" s="14" t="n">
        <v>301</v>
      </c>
      <c r="B302" s="14" t="s">
        <v>139</v>
      </c>
      <c r="C302" s="14" t="s">
        <v>135</v>
      </c>
      <c r="D302" s="14" t="s">
        <v>128</v>
      </c>
      <c r="E302" s="14" t="s">
        <v>261</v>
      </c>
      <c r="F302" s="14" t="s">
        <v>241</v>
      </c>
      <c r="G302" s="14" t="n">
        <v>7109</v>
      </c>
      <c r="H302" s="14" t="s">
        <v>166</v>
      </c>
      <c r="I302" s="14" t="s">
        <v>137</v>
      </c>
      <c r="J302" s="14" t="s">
        <v>150</v>
      </c>
      <c r="K302" s="15" t="n">
        <v>56.91</v>
      </c>
      <c r="L302" s="14" t="n">
        <v>3</v>
      </c>
      <c r="M302" s="16" t="n">
        <v>0</v>
      </c>
      <c r="N302" s="15" t="n">
        <v>27.3168</v>
      </c>
      <c r="O302" s="17" t="str">
        <f aca="false">UPPER(LEFT(F302,3))&amp;"-"&amp;G302</f>
        <v>NEW-7109</v>
      </c>
      <c r="P302" s="17" t="str">
        <f aca="false">PROPER(TRIM(E302))</f>
        <v>Belleville</v>
      </c>
      <c r="Q302" s="17" t="str">
        <f aca="false">IFERROR(VLOOKUP(F302,Lookups!$A$2:$B$50,2,FALSE()),"Not found")</f>
        <v>East</v>
      </c>
      <c r="R302" s="17" t="str">
        <f aca="false">IF(Q302=H302,"Match","Mismatch")</f>
        <v>Match</v>
      </c>
      <c r="S302" s="17" t="str">
        <f aca="false">IFERROR(INDEX(SubCatCat,MATCH(J302,SubCatName,0)),"Not found")</f>
        <v>Office Supplies</v>
      </c>
      <c r="T302" s="18" t="n">
        <f aca="false">IF(K302=0,0,N302/K302)</f>
        <v>0.48</v>
      </c>
      <c r="U302" s="17" t="str">
        <f aca="false">IF(N302&lt;0,"Loss",IF(T302&gt;=0.2,"High margin","Normal"))</f>
        <v>High margin</v>
      </c>
      <c r="V302" s="17" t="str">
        <f aca="false">IF(M302=0,"No discount",IF(M302&lt;=0.2,"Low",IF(M302&lt;=0.4,"Medium","High")))</f>
        <v>No discount</v>
      </c>
      <c r="W302" s="17" t="str">
        <f aca="false">IF(OR(B302="Same Day",B302="First Class"),"Fast","Standard")</f>
        <v>Standard</v>
      </c>
      <c r="X302" s="19" t="n">
        <f aca="false">ROUND(K302/L302,2)</f>
        <v>18.97</v>
      </c>
    </row>
    <row r="303" customFormat="false" ht="15" hidden="false" customHeight="false" outlineLevel="0" collapsed="false">
      <c r="A303" s="14" t="n">
        <v>302</v>
      </c>
      <c r="B303" s="14" t="s">
        <v>139</v>
      </c>
      <c r="C303" s="14" t="s">
        <v>135</v>
      </c>
      <c r="D303" s="14" t="s">
        <v>128</v>
      </c>
      <c r="E303" s="14" t="s">
        <v>261</v>
      </c>
      <c r="F303" s="14" t="s">
        <v>241</v>
      </c>
      <c r="G303" s="14" t="n">
        <v>7109</v>
      </c>
      <c r="H303" s="14" t="s">
        <v>166</v>
      </c>
      <c r="I303" s="14" t="s">
        <v>132</v>
      </c>
      <c r="J303" s="14" t="s">
        <v>144</v>
      </c>
      <c r="K303" s="15" t="n">
        <v>77.6</v>
      </c>
      <c r="L303" s="14" t="n">
        <v>4</v>
      </c>
      <c r="M303" s="16" t="n">
        <v>0</v>
      </c>
      <c r="N303" s="15" t="n">
        <v>38.024</v>
      </c>
      <c r="O303" s="17" t="str">
        <f aca="false">UPPER(LEFT(F303,3))&amp;"-"&amp;G303</f>
        <v>NEW-7109</v>
      </c>
      <c r="P303" s="17" t="str">
        <f aca="false">PROPER(TRIM(E303))</f>
        <v>Belleville</v>
      </c>
      <c r="Q303" s="17" t="str">
        <f aca="false">IFERROR(VLOOKUP(F303,Lookups!$A$2:$B$50,2,FALSE()),"Not found")</f>
        <v>East</v>
      </c>
      <c r="R303" s="17" t="str">
        <f aca="false">IF(Q303=H303,"Match","Mismatch")</f>
        <v>Match</v>
      </c>
      <c r="S303" s="17" t="str">
        <f aca="false">IFERROR(INDEX(SubCatCat,MATCH(J303,SubCatName,0)),"Not found")</f>
        <v>Furniture</v>
      </c>
      <c r="T303" s="18" t="n">
        <f aca="false">IF(K303=0,0,N303/K303)</f>
        <v>0.49</v>
      </c>
      <c r="U303" s="17" t="str">
        <f aca="false">IF(N303&lt;0,"Loss",IF(T303&gt;=0.2,"High margin","Normal"))</f>
        <v>High margin</v>
      </c>
      <c r="V303" s="17" t="str">
        <f aca="false">IF(M303=0,"No discount",IF(M303&lt;=0.2,"Low",IF(M303&lt;=0.4,"Medium","High")))</f>
        <v>No discount</v>
      </c>
      <c r="W303" s="17" t="str">
        <f aca="false">IF(OR(B303="Same Day",B303="First Class"),"Fast","Standard")</f>
        <v>Standard</v>
      </c>
      <c r="X303" s="19" t="n">
        <f aca="false">ROUND(K303/L303,2)</f>
        <v>19.4</v>
      </c>
    </row>
    <row r="304" customFormat="false" ht="15" hidden="false" customHeight="false" outlineLevel="0" collapsed="false">
      <c r="A304" s="14" t="n">
        <v>303</v>
      </c>
      <c r="B304" s="14" t="s">
        <v>139</v>
      </c>
      <c r="C304" s="14" t="s">
        <v>135</v>
      </c>
      <c r="D304" s="14" t="s">
        <v>128</v>
      </c>
      <c r="E304" s="14" t="s">
        <v>261</v>
      </c>
      <c r="F304" s="14" t="s">
        <v>241</v>
      </c>
      <c r="G304" s="14" t="n">
        <v>7109</v>
      </c>
      <c r="H304" s="14" t="s">
        <v>166</v>
      </c>
      <c r="I304" s="14" t="s">
        <v>137</v>
      </c>
      <c r="J304" s="14" t="s">
        <v>146</v>
      </c>
      <c r="K304" s="15" t="n">
        <v>14.28</v>
      </c>
      <c r="L304" s="14" t="n">
        <v>1</v>
      </c>
      <c r="M304" s="16" t="n">
        <v>0</v>
      </c>
      <c r="N304" s="15" t="n">
        <v>6.5688</v>
      </c>
      <c r="O304" s="17" t="str">
        <f aca="false">UPPER(LEFT(F304,3))&amp;"-"&amp;G304</f>
        <v>NEW-7109</v>
      </c>
      <c r="P304" s="17" t="str">
        <f aca="false">PROPER(TRIM(E304))</f>
        <v>Belleville</v>
      </c>
      <c r="Q304" s="17" t="str">
        <f aca="false">IFERROR(VLOOKUP(F304,Lookups!$A$2:$B$50,2,FALSE()),"Not found")</f>
        <v>East</v>
      </c>
      <c r="R304" s="17" t="str">
        <f aca="false">IF(Q304=H304,"Match","Mismatch")</f>
        <v>Match</v>
      </c>
      <c r="S304" s="17" t="str">
        <f aca="false">IFERROR(INDEX(SubCatCat,MATCH(J304,SubCatName,0)),"Not found")</f>
        <v>Office Supplies</v>
      </c>
      <c r="T304" s="18" t="n">
        <f aca="false">IF(K304=0,0,N304/K304)</f>
        <v>0.46</v>
      </c>
      <c r="U304" s="17" t="str">
        <f aca="false">IF(N304&lt;0,"Loss",IF(T304&gt;=0.2,"High margin","Normal"))</f>
        <v>High margin</v>
      </c>
      <c r="V304" s="17" t="str">
        <f aca="false">IF(M304=0,"No discount",IF(M304&lt;=0.2,"Low",IF(M304&lt;=0.4,"Medium","High")))</f>
        <v>No discount</v>
      </c>
      <c r="W304" s="17" t="str">
        <f aca="false">IF(OR(B304="Same Day",B304="First Class"),"Fast","Standard")</f>
        <v>Standard</v>
      </c>
      <c r="X304" s="19" t="n">
        <f aca="false">ROUND(K304/L304,2)</f>
        <v>14.28</v>
      </c>
    </row>
    <row r="305" customFormat="false" ht="15" hidden="false" customHeight="false" outlineLevel="0" collapsed="false">
      <c r="A305" s="14" t="n">
        <v>304</v>
      </c>
      <c r="B305" s="14" t="s">
        <v>139</v>
      </c>
      <c r="C305" s="14" t="s">
        <v>7</v>
      </c>
      <c r="D305" s="14" t="s">
        <v>128</v>
      </c>
      <c r="E305" s="14" t="s">
        <v>188</v>
      </c>
      <c r="F305" s="14" t="s">
        <v>174</v>
      </c>
      <c r="G305" s="14" t="n">
        <v>60623</v>
      </c>
      <c r="H305" s="14" t="s">
        <v>156</v>
      </c>
      <c r="I305" s="14" t="s">
        <v>132</v>
      </c>
      <c r="J305" s="14" t="s">
        <v>142</v>
      </c>
      <c r="K305" s="15" t="n">
        <v>219.075</v>
      </c>
      <c r="L305" s="14" t="n">
        <v>3</v>
      </c>
      <c r="M305" s="16" t="n">
        <v>0.5</v>
      </c>
      <c r="N305" s="15" t="n">
        <v>-131.445</v>
      </c>
      <c r="O305" s="17" t="str">
        <f aca="false">UPPER(LEFT(F305,3))&amp;"-"&amp;G305</f>
        <v>ILL-60623</v>
      </c>
      <c r="P305" s="17" t="str">
        <f aca="false">PROPER(TRIM(E305))</f>
        <v>Chicago</v>
      </c>
      <c r="Q305" s="17" t="str">
        <f aca="false">IFERROR(VLOOKUP(F305,Lookups!$A$2:$B$50,2,FALSE()),"Not found")</f>
        <v>Central</v>
      </c>
      <c r="R305" s="17" t="str">
        <f aca="false">IF(Q305=H305,"Match","Mismatch")</f>
        <v>Match</v>
      </c>
      <c r="S305" s="17" t="str">
        <f aca="false">IFERROR(INDEX(SubCatCat,MATCH(J305,SubCatName,0)),"Not found")</f>
        <v>Furniture</v>
      </c>
      <c r="T305" s="18" t="n">
        <f aca="false">IF(K305=0,0,N305/K305)</f>
        <v>-0.6</v>
      </c>
      <c r="U305" s="17" t="str">
        <f aca="false">IF(N305&lt;0,"Loss",IF(T305&gt;=0.2,"High margin","Normal"))</f>
        <v>Loss</v>
      </c>
      <c r="V305" s="17" t="str">
        <f aca="false">IF(M305=0,"No discount",IF(M305&lt;=0.2,"Low",IF(M305&lt;=0.4,"Medium","High")))</f>
        <v>High</v>
      </c>
      <c r="W305" s="17" t="str">
        <f aca="false">IF(OR(B305="Same Day",B305="First Class"),"Fast","Standard")</f>
        <v>Standard</v>
      </c>
      <c r="X305" s="19" t="n">
        <f aca="false">ROUND(K305/L305,2)</f>
        <v>73.03</v>
      </c>
    </row>
    <row r="306" customFormat="false" ht="15" hidden="false" customHeight="false" outlineLevel="0" collapsed="false">
      <c r="A306" s="14" t="n">
        <v>305</v>
      </c>
      <c r="B306" s="14" t="s">
        <v>127</v>
      </c>
      <c r="C306" s="14" t="s">
        <v>135</v>
      </c>
      <c r="D306" s="14" t="s">
        <v>128</v>
      </c>
      <c r="E306" s="14" t="s">
        <v>184</v>
      </c>
      <c r="F306" s="14" t="s">
        <v>185</v>
      </c>
      <c r="G306" s="14" t="n">
        <v>10024</v>
      </c>
      <c r="H306" s="14" t="s">
        <v>166</v>
      </c>
      <c r="I306" s="14" t="s">
        <v>132</v>
      </c>
      <c r="J306" s="14" t="s">
        <v>144</v>
      </c>
      <c r="K306" s="15" t="n">
        <v>26.8</v>
      </c>
      <c r="L306" s="14" t="n">
        <v>2</v>
      </c>
      <c r="M306" s="16" t="n">
        <v>0</v>
      </c>
      <c r="N306" s="15" t="n">
        <v>12.864</v>
      </c>
      <c r="O306" s="17" t="str">
        <f aca="false">UPPER(LEFT(F306,3))&amp;"-"&amp;G306</f>
        <v>NEW-10024</v>
      </c>
      <c r="P306" s="17" t="str">
        <f aca="false">PROPER(TRIM(E306))</f>
        <v>New York City</v>
      </c>
      <c r="Q306" s="17" t="str">
        <f aca="false">IFERROR(VLOOKUP(F306,Lookups!$A$2:$B$50,2,FALSE()),"Not found")</f>
        <v>East</v>
      </c>
      <c r="R306" s="17" t="str">
        <f aca="false">IF(Q306=H306,"Match","Mismatch")</f>
        <v>Match</v>
      </c>
      <c r="S306" s="17" t="str">
        <f aca="false">IFERROR(INDEX(SubCatCat,MATCH(J306,SubCatName,0)),"Not found")</f>
        <v>Furniture</v>
      </c>
      <c r="T306" s="18" t="n">
        <f aca="false">IF(K306=0,0,N306/K306)</f>
        <v>0.48</v>
      </c>
      <c r="U306" s="17" t="str">
        <f aca="false">IF(N306&lt;0,"Loss",IF(T306&gt;=0.2,"High margin","Normal"))</f>
        <v>High margin</v>
      </c>
      <c r="V306" s="17" t="str">
        <f aca="false">IF(M306=0,"No discount",IF(M306&lt;=0.2,"Low",IF(M306&lt;=0.4,"Medium","High")))</f>
        <v>No discount</v>
      </c>
      <c r="W306" s="17" t="str">
        <f aca="false">IF(OR(B306="Same Day",B306="First Class"),"Fast","Standard")</f>
        <v>Standard</v>
      </c>
      <c r="X306" s="19" t="n">
        <f aca="false">ROUND(K306/L306,2)</f>
        <v>13.4</v>
      </c>
    </row>
    <row r="307" customFormat="false" ht="15" hidden="false" customHeight="false" outlineLevel="0" collapsed="false">
      <c r="A307" s="14" t="n">
        <v>306</v>
      </c>
      <c r="B307" s="14" t="s">
        <v>139</v>
      </c>
      <c r="C307" s="14" t="s">
        <v>135</v>
      </c>
      <c r="D307" s="14" t="s">
        <v>128</v>
      </c>
      <c r="E307" s="14" t="s">
        <v>262</v>
      </c>
      <c r="F307" s="14" t="s">
        <v>179</v>
      </c>
      <c r="G307" s="14" t="n">
        <v>48180</v>
      </c>
      <c r="H307" s="14" t="s">
        <v>156</v>
      </c>
      <c r="I307" s="14" t="s">
        <v>137</v>
      </c>
      <c r="J307" s="14" t="s">
        <v>145</v>
      </c>
      <c r="K307" s="15" t="n">
        <v>9.84</v>
      </c>
      <c r="L307" s="14" t="n">
        <v>3</v>
      </c>
      <c r="M307" s="16" t="n">
        <v>0</v>
      </c>
      <c r="N307" s="15" t="n">
        <v>2.8536</v>
      </c>
      <c r="O307" s="17" t="str">
        <f aca="false">UPPER(LEFT(F307,3))&amp;"-"&amp;G307</f>
        <v>MIC-48180</v>
      </c>
      <c r="P307" s="17" t="str">
        <f aca="false">PROPER(TRIM(E307))</f>
        <v>Taylor</v>
      </c>
      <c r="Q307" s="17" t="str">
        <f aca="false">IFERROR(VLOOKUP(F307,Lookups!$A$2:$B$50,2,FALSE()),"Not found")</f>
        <v>Central</v>
      </c>
      <c r="R307" s="17" t="str">
        <f aca="false">IF(Q307=H307,"Match","Mismatch")</f>
        <v>Match</v>
      </c>
      <c r="S307" s="17" t="str">
        <f aca="false">IFERROR(INDEX(SubCatCat,MATCH(J307,SubCatName,0)),"Not found")</f>
        <v>Office Supplies</v>
      </c>
      <c r="T307" s="18" t="n">
        <f aca="false">IF(K307=0,0,N307/K307)</f>
        <v>0.29</v>
      </c>
      <c r="U307" s="17" t="str">
        <f aca="false">IF(N307&lt;0,"Loss",IF(T307&gt;=0.2,"High margin","Normal"))</f>
        <v>High margin</v>
      </c>
      <c r="V307" s="17" t="str">
        <f aca="false">IF(M307=0,"No discount",IF(M307&lt;=0.2,"Low",IF(M307&lt;=0.4,"Medium","High")))</f>
        <v>No discount</v>
      </c>
      <c r="W307" s="17" t="str">
        <f aca="false">IF(OR(B307="Same Day",B307="First Class"),"Fast","Standard")</f>
        <v>Standard</v>
      </c>
      <c r="X307" s="19" t="n">
        <f aca="false">ROUND(K307/L307,2)</f>
        <v>3.28</v>
      </c>
    </row>
    <row r="308" customFormat="false" ht="15" hidden="false" customHeight="false" outlineLevel="0" collapsed="false">
      <c r="A308" s="14" t="n">
        <v>307</v>
      </c>
      <c r="B308" s="14" t="s">
        <v>139</v>
      </c>
      <c r="C308" s="14" t="s">
        <v>153</v>
      </c>
      <c r="D308" s="14" t="s">
        <v>128</v>
      </c>
      <c r="E308" s="14" t="s">
        <v>263</v>
      </c>
      <c r="F308" s="14" t="s">
        <v>241</v>
      </c>
      <c r="G308" s="14" t="n">
        <v>8701</v>
      </c>
      <c r="H308" s="14" t="s">
        <v>166</v>
      </c>
      <c r="I308" s="14" t="s">
        <v>137</v>
      </c>
      <c r="J308" s="14" t="s">
        <v>146</v>
      </c>
      <c r="K308" s="15" t="n">
        <v>45.48</v>
      </c>
      <c r="L308" s="14" t="n">
        <v>3</v>
      </c>
      <c r="M308" s="16" t="n">
        <v>0</v>
      </c>
      <c r="N308" s="15" t="n">
        <v>20.9208</v>
      </c>
      <c r="O308" s="17" t="str">
        <f aca="false">UPPER(LEFT(F308,3))&amp;"-"&amp;G308</f>
        <v>NEW-8701</v>
      </c>
      <c r="P308" s="17" t="str">
        <f aca="false">PROPER(TRIM(E308))</f>
        <v>Lakewood</v>
      </c>
      <c r="Q308" s="17" t="str">
        <f aca="false">IFERROR(VLOOKUP(F308,Lookups!$A$2:$B$50,2,FALSE()),"Not found")</f>
        <v>East</v>
      </c>
      <c r="R308" s="17" t="str">
        <f aca="false">IF(Q308=H308,"Match","Mismatch")</f>
        <v>Match</v>
      </c>
      <c r="S308" s="17" t="str">
        <f aca="false">IFERROR(INDEX(SubCatCat,MATCH(J308,SubCatName,0)),"Not found")</f>
        <v>Office Supplies</v>
      </c>
      <c r="T308" s="18" t="n">
        <f aca="false">IF(K308=0,0,N308/K308)</f>
        <v>0.46</v>
      </c>
      <c r="U308" s="17" t="str">
        <f aca="false">IF(N308&lt;0,"Loss",IF(T308&gt;=0.2,"High margin","Normal"))</f>
        <v>High margin</v>
      </c>
      <c r="V308" s="17" t="str">
        <f aca="false">IF(M308=0,"No discount",IF(M308&lt;=0.2,"Low",IF(M308&lt;=0.4,"Medium","High")))</f>
        <v>No discount</v>
      </c>
      <c r="W308" s="17" t="str">
        <f aca="false">IF(OR(B308="Same Day",B308="First Class"),"Fast","Standard")</f>
        <v>Standard</v>
      </c>
      <c r="X308" s="19" t="n">
        <f aca="false">ROUND(K308/L308,2)</f>
        <v>15.16</v>
      </c>
    </row>
    <row r="309" customFormat="false" ht="15" hidden="false" customHeight="false" outlineLevel="0" collapsed="false">
      <c r="A309" s="14" t="n">
        <v>308</v>
      </c>
      <c r="B309" s="14" t="s">
        <v>139</v>
      </c>
      <c r="C309" s="14" t="s">
        <v>153</v>
      </c>
      <c r="D309" s="14" t="s">
        <v>128</v>
      </c>
      <c r="E309" s="14" t="s">
        <v>263</v>
      </c>
      <c r="F309" s="14" t="s">
        <v>241</v>
      </c>
      <c r="G309" s="14" t="n">
        <v>8701</v>
      </c>
      <c r="H309" s="14" t="s">
        <v>166</v>
      </c>
      <c r="I309" s="14" t="s">
        <v>137</v>
      </c>
      <c r="J309" s="14" t="s">
        <v>145</v>
      </c>
      <c r="K309" s="15" t="n">
        <v>289.2</v>
      </c>
      <c r="L309" s="14" t="n">
        <v>6</v>
      </c>
      <c r="M309" s="16" t="n">
        <v>0</v>
      </c>
      <c r="N309" s="15" t="n">
        <v>83.868</v>
      </c>
      <c r="O309" s="17" t="str">
        <f aca="false">UPPER(LEFT(F309,3))&amp;"-"&amp;G309</f>
        <v>NEW-8701</v>
      </c>
      <c r="P309" s="17" t="str">
        <f aca="false">PROPER(TRIM(E309))</f>
        <v>Lakewood</v>
      </c>
      <c r="Q309" s="17" t="str">
        <f aca="false">IFERROR(VLOOKUP(F309,Lookups!$A$2:$B$50,2,FALSE()),"Not found")</f>
        <v>East</v>
      </c>
      <c r="R309" s="17" t="str">
        <f aca="false">IF(Q309=H309,"Match","Mismatch")</f>
        <v>Match</v>
      </c>
      <c r="S309" s="17" t="str">
        <f aca="false">IFERROR(INDEX(SubCatCat,MATCH(J309,SubCatName,0)),"Not found")</f>
        <v>Office Supplies</v>
      </c>
      <c r="T309" s="18" t="n">
        <f aca="false">IF(K309=0,0,N309/K309)</f>
        <v>0.29</v>
      </c>
      <c r="U309" s="17" t="str">
        <f aca="false">IF(N309&lt;0,"Loss",IF(T309&gt;=0.2,"High margin","Normal"))</f>
        <v>High margin</v>
      </c>
      <c r="V309" s="17" t="str">
        <f aca="false">IF(M309=0,"No discount",IF(M309&lt;=0.2,"Low",IF(M309&lt;=0.4,"Medium","High")))</f>
        <v>No discount</v>
      </c>
      <c r="W309" s="17" t="str">
        <f aca="false">IF(OR(B309="Same Day",B309="First Class"),"Fast","Standard")</f>
        <v>Standard</v>
      </c>
      <c r="X309" s="19" t="n">
        <f aca="false">ROUND(K309/L309,2)</f>
        <v>48.2</v>
      </c>
    </row>
    <row r="310" customFormat="false" ht="15" hidden="false" customHeight="false" outlineLevel="0" collapsed="false">
      <c r="A310" s="14" t="n">
        <v>309</v>
      </c>
      <c r="B310" s="14" t="s">
        <v>171</v>
      </c>
      <c r="C310" s="14" t="s">
        <v>7</v>
      </c>
      <c r="D310" s="14" t="s">
        <v>128</v>
      </c>
      <c r="E310" s="14" t="s">
        <v>264</v>
      </c>
      <c r="F310" s="14" t="s">
        <v>192</v>
      </c>
      <c r="G310" s="14" t="n">
        <v>22204</v>
      </c>
      <c r="H310" s="14" t="s">
        <v>131</v>
      </c>
      <c r="I310" s="14" t="s">
        <v>137</v>
      </c>
      <c r="J310" s="14" t="s">
        <v>145</v>
      </c>
      <c r="K310" s="15" t="n">
        <v>4.89</v>
      </c>
      <c r="L310" s="14" t="n">
        <v>1</v>
      </c>
      <c r="M310" s="16" t="n">
        <v>0</v>
      </c>
      <c r="N310" s="15" t="n">
        <v>2.0049</v>
      </c>
      <c r="O310" s="17" t="str">
        <f aca="false">UPPER(LEFT(F310,3))&amp;"-"&amp;G310</f>
        <v>VIR-22204</v>
      </c>
      <c r="P310" s="17" t="str">
        <f aca="false">PROPER(TRIM(E310))</f>
        <v>Arlington</v>
      </c>
      <c r="Q310" s="17" t="str">
        <f aca="false">IFERROR(VLOOKUP(F310,Lookups!$A$2:$B$50,2,FALSE()),"Not found")</f>
        <v>South</v>
      </c>
      <c r="R310" s="17" t="str">
        <f aca="false">IF(Q310=H310,"Match","Mismatch")</f>
        <v>Match</v>
      </c>
      <c r="S310" s="17" t="str">
        <f aca="false">IFERROR(INDEX(SubCatCat,MATCH(J310,SubCatName,0)),"Not found")</f>
        <v>Office Supplies</v>
      </c>
      <c r="T310" s="18" t="n">
        <f aca="false">IF(K310=0,0,N310/K310)</f>
        <v>0.41</v>
      </c>
      <c r="U310" s="17" t="str">
        <f aca="false">IF(N310&lt;0,"Loss",IF(T310&gt;=0.2,"High margin","Normal"))</f>
        <v>High margin</v>
      </c>
      <c r="V310" s="17" t="str">
        <f aca="false">IF(M310=0,"No discount",IF(M310&lt;=0.2,"Low",IF(M310&lt;=0.4,"Medium","High")))</f>
        <v>No discount</v>
      </c>
      <c r="W310" s="17" t="str">
        <f aca="false">IF(OR(B310="Same Day",B310="First Class"),"Fast","Standard")</f>
        <v>Fast</v>
      </c>
      <c r="X310" s="19" t="n">
        <f aca="false">ROUND(K310/L310,2)</f>
        <v>4.89</v>
      </c>
    </row>
    <row r="311" customFormat="false" ht="15" hidden="false" customHeight="false" outlineLevel="0" collapsed="false">
      <c r="A311" s="14" t="n">
        <v>310</v>
      </c>
      <c r="B311" s="14" t="s">
        <v>127</v>
      </c>
      <c r="C311" s="14" t="s">
        <v>135</v>
      </c>
      <c r="D311" s="14" t="s">
        <v>128</v>
      </c>
      <c r="E311" s="14" t="s">
        <v>265</v>
      </c>
      <c r="F311" s="14" t="s">
        <v>207</v>
      </c>
      <c r="G311" s="14" t="n">
        <v>80004</v>
      </c>
      <c r="H311" s="14" t="s">
        <v>3</v>
      </c>
      <c r="I311" s="14" t="s">
        <v>132</v>
      </c>
      <c r="J311" s="14" t="s">
        <v>144</v>
      </c>
      <c r="K311" s="15" t="n">
        <v>15.136</v>
      </c>
      <c r="L311" s="14" t="n">
        <v>4</v>
      </c>
      <c r="M311" s="16" t="n">
        <v>0.2</v>
      </c>
      <c r="N311" s="15" t="n">
        <v>3.5948</v>
      </c>
      <c r="O311" s="17" t="str">
        <f aca="false">UPPER(LEFT(F311,3))&amp;"-"&amp;G311</f>
        <v>COL-80004</v>
      </c>
      <c r="P311" s="17" t="str">
        <f aca="false">PROPER(TRIM(E311))</f>
        <v>Arvada</v>
      </c>
      <c r="Q311" s="17" t="str">
        <f aca="false">IFERROR(VLOOKUP(F311,Lookups!$A$2:$B$50,2,FALSE()),"Not found")</f>
        <v>West</v>
      </c>
      <c r="R311" s="17" t="str">
        <f aca="false">IF(Q311=H311,"Match","Mismatch")</f>
        <v>Match</v>
      </c>
      <c r="S311" s="17" t="str">
        <f aca="false">IFERROR(INDEX(SubCatCat,MATCH(J311,SubCatName,0)),"Not found")</f>
        <v>Furniture</v>
      </c>
      <c r="T311" s="18" t="n">
        <f aca="false">IF(K311=0,0,N311/K311)</f>
        <v>0.2375</v>
      </c>
      <c r="U311" s="17" t="str">
        <f aca="false">IF(N311&lt;0,"Loss",IF(T311&gt;=0.2,"High margin","Normal"))</f>
        <v>High margin</v>
      </c>
      <c r="V311" s="17" t="str">
        <f aca="false">IF(M311=0,"No discount",IF(M311&lt;=0.2,"Low",IF(M311&lt;=0.4,"Medium","High")))</f>
        <v>Low</v>
      </c>
      <c r="W311" s="17" t="str">
        <f aca="false">IF(OR(B311="Same Day",B311="First Class"),"Fast","Standard")</f>
        <v>Standard</v>
      </c>
      <c r="X311" s="19" t="n">
        <f aca="false">ROUND(K311/L311,2)</f>
        <v>3.78</v>
      </c>
    </row>
    <row r="312" customFormat="false" ht="15" hidden="false" customHeight="false" outlineLevel="0" collapsed="false">
      <c r="A312" s="14" t="n">
        <v>311</v>
      </c>
      <c r="B312" s="14" t="s">
        <v>127</v>
      </c>
      <c r="C312" s="14" t="s">
        <v>135</v>
      </c>
      <c r="D312" s="14" t="s">
        <v>128</v>
      </c>
      <c r="E312" s="14" t="s">
        <v>265</v>
      </c>
      <c r="F312" s="14" t="s">
        <v>207</v>
      </c>
      <c r="G312" s="14" t="n">
        <v>80004</v>
      </c>
      <c r="H312" s="14" t="s">
        <v>3</v>
      </c>
      <c r="I312" s="14" t="s">
        <v>132</v>
      </c>
      <c r="J312" s="14" t="s">
        <v>134</v>
      </c>
      <c r="K312" s="15" t="n">
        <v>466.768</v>
      </c>
      <c r="L312" s="14" t="n">
        <v>2</v>
      </c>
      <c r="M312" s="16" t="n">
        <v>0.2</v>
      </c>
      <c r="N312" s="15" t="n">
        <v>52.5114</v>
      </c>
      <c r="O312" s="17" t="str">
        <f aca="false">UPPER(LEFT(F312,3))&amp;"-"&amp;G312</f>
        <v>COL-80004</v>
      </c>
      <c r="P312" s="17" t="str">
        <f aca="false">PROPER(TRIM(E312))</f>
        <v>Arvada</v>
      </c>
      <c r="Q312" s="17" t="str">
        <f aca="false">IFERROR(VLOOKUP(F312,Lookups!$A$2:$B$50,2,FALSE()),"Not found")</f>
        <v>West</v>
      </c>
      <c r="R312" s="17" t="str">
        <f aca="false">IF(Q312=H312,"Match","Mismatch")</f>
        <v>Match</v>
      </c>
      <c r="S312" s="17" t="str">
        <f aca="false">IFERROR(INDEX(SubCatCat,MATCH(J312,SubCatName,0)),"Not found")</f>
        <v>Furniture</v>
      </c>
      <c r="T312" s="18" t="n">
        <f aca="false">IF(K312=0,0,N312/K312)</f>
        <v>0.1125</v>
      </c>
      <c r="U312" s="17" t="str">
        <f aca="false">IF(N312&lt;0,"Loss",IF(T312&gt;=0.2,"High margin","Normal"))</f>
        <v>Normal</v>
      </c>
      <c r="V312" s="17" t="str">
        <f aca="false">IF(M312=0,"No discount",IF(M312&lt;=0.2,"Low",IF(M312&lt;=0.4,"Medium","High")))</f>
        <v>Low</v>
      </c>
      <c r="W312" s="17" t="str">
        <f aca="false">IF(OR(B312="Same Day",B312="First Class"),"Fast","Standard")</f>
        <v>Standard</v>
      </c>
      <c r="X312" s="19" t="n">
        <f aca="false">ROUND(K312/L312,2)</f>
        <v>233.38</v>
      </c>
    </row>
    <row r="313" customFormat="false" ht="15" hidden="false" customHeight="false" outlineLevel="0" collapsed="false">
      <c r="A313" s="14" t="n">
        <v>312</v>
      </c>
      <c r="B313" s="14" t="s">
        <v>127</v>
      </c>
      <c r="C313" s="14" t="s">
        <v>135</v>
      </c>
      <c r="D313" s="14" t="s">
        <v>128</v>
      </c>
      <c r="E313" s="14" t="s">
        <v>265</v>
      </c>
      <c r="F313" s="14" t="s">
        <v>207</v>
      </c>
      <c r="G313" s="14" t="n">
        <v>80004</v>
      </c>
      <c r="H313" s="14" t="s">
        <v>3</v>
      </c>
      <c r="I313" s="14" t="s">
        <v>132</v>
      </c>
      <c r="J313" s="14" t="s">
        <v>144</v>
      </c>
      <c r="K313" s="15" t="n">
        <v>15.232</v>
      </c>
      <c r="L313" s="14" t="n">
        <v>1</v>
      </c>
      <c r="M313" s="16" t="n">
        <v>0.2</v>
      </c>
      <c r="N313" s="15" t="n">
        <v>1.7136</v>
      </c>
      <c r="O313" s="17" t="str">
        <f aca="false">UPPER(LEFT(F313,3))&amp;"-"&amp;G313</f>
        <v>COL-80004</v>
      </c>
      <c r="P313" s="17" t="str">
        <f aca="false">PROPER(TRIM(E313))</f>
        <v>Arvada</v>
      </c>
      <c r="Q313" s="17" t="str">
        <f aca="false">IFERROR(VLOOKUP(F313,Lookups!$A$2:$B$50,2,FALSE()),"Not found")</f>
        <v>West</v>
      </c>
      <c r="R313" s="17" t="str">
        <f aca="false">IF(Q313=H313,"Match","Mismatch")</f>
        <v>Match</v>
      </c>
      <c r="S313" s="17" t="str">
        <f aca="false">IFERROR(INDEX(SubCatCat,MATCH(J313,SubCatName,0)),"Not found")</f>
        <v>Furniture</v>
      </c>
      <c r="T313" s="18" t="n">
        <f aca="false">IF(K313=0,0,N313/K313)</f>
        <v>0.1125</v>
      </c>
      <c r="U313" s="17" t="str">
        <f aca="false">IF(N313&lt;0,"Loss",IF(T313&gt;=0.2,"High margin","Normal"))</f>
        <v>Normal</v>
      </c>
      <c r="V313" s="17" t="str">
        <f aca="false">IF(M313=0,"No discount",IF(M313&lt;=0.2,"Low",IF(M313&lt;=0.4,"Medium","High")))</f>
        <v>Low</v>
      </c>
      <c r="W313" s="17" t="str">
        <f aca="false">IF(OR(B313="Same Day",B313="First Class"),"Fast","Standard")</f>
        <v>Standard</v>
      </c>
      <c r="X313" s="19" t="n">
        <f aca="false">ROUND(K313/L313,2)</f>
        <v>15.23</v>
      </c>
    </row>
    <row r="314" customFormat="false" ht="15" hidden="false" customHeight="false" outlineLevel="0" collapsed="false">
      <c r="A314" s="14" t="n">
        <v>313</v>
      </c>
      <c r="B314" s="14" t="s">
        <v>127</v>
      </c>
      <c r="C314" s="14" t="s">
        <v>135</v>
      </c>
      <c r="D314" s="14" t="s">
        <v>128</v>
      </c>
      <c r="E314" s="14" t="s">
        <v>265</v>
      </c>
      <c r="F314" s="14" t="s">
        <v>207</v>
      </c>
      <c r="G314" s="14" t="n">
        <v>80004</v>
      </c>
      <c r="H314" s="14" t="s">
        <v>3</v>
      </c>
      <c r="I314" s="14" t="s">
        <v>137</v>
      </c>
      <c r="J314" s="14" t="s">
        <v>138</v>
      </c>
      <c r="K314" s="15" t="n">
        <v>6.264</v>
      </c>
      <c r="L314" s="14" t="n">
        <v>3</v>
      </c>
      <c r="M314" s="16" t="n">
        <v>0.2</v>
      </c>
      <c r="N314" s="15" t="n">
        <v>2.0358</v>
      </c>
      <c r="O314" s="17" t="str">
        <f aca="false">UPPER(LEFT(F314,3))&amp;"-"&amp;G314</f>
        <v>COL-80004</v>
      </c>
      <c r="P314" s="17" t="str">
        <f aca="false">PROPER(TRIM(E314))</f>
        <v>Arvada</v>
      </c>
      <c r="Q314" s="17" t="str">
        <f aca="false">IFERROR(VLOOKUP(F314,Lookups!$A$2:$B$50,2,FALSE()),"Not found")</f>
        <v>West</v>
      </c>
      <c r="R314" s="17" t="str">
        <f aca="false">IF(Q314=H314,"Match","Mismatch")</f>
        <v>Match</v>
      </c>
      <c r="S314" s="17" t="str">
        <f aca="false">IFERROR(INDEX(SubCatCat,MATCH(J314,SubCatName,0)),"Not found")</f>
        <v>Office Supplies</v>
      </c>
      <c r="T314" s="18" t="n">
        <f aca="false">IF(K314=0,0,N314/K314)</f>
        <v>0.325</v>
      </c>
      <c r="U314" s="17" t="str">
        <f aca="false">IF(N314&lt;0,"Loss",IF(T314&gt;=0.2,"High margin","Normal"))</f>
        <v>High margin</v>
      </c>
      <c r="V314" s="17" t="str">
        <f aca="false">IF(M314=0,"No discount",IF(M314&lt;=0.2,"Low",IF(M314&lt;=0.4,"Medium","High")))</f>
        <v>Low</v>
      </c>
      <c r="W314" s="17" t="str">
        <f aca="false">IF(OR(B314="Same Day",B314="First Class"),"Fast","Standard")</f>
        <v>Standard</v>
      </c>
      <c r="X314" s="19" t="n">
        <f aca="false">ROUND(K314/L314,2)</f>
        <v>2.09</v>
      </c>
    </row>
    <row r="315" customFormat="false" ht="15" hidden="false" customHeight="false" outlineLevel="0" collapsed="false">
      <c r="A315" s="14" t="n">
        <v>314</v>
      </c>
      <c r="B315" s="14" t="s">
        <v>139</v>
      </c>
      <c r="C315" s="14" t="s">
        <v>135</v>
      </c>
      <c r="D315" s="14" t="s">
        <v>128</v>
      </c>
      <c r="E315" s="14" t="s">
        <v>266</v>
      </c>
      <c r="F315" s="14" t="s">
        <v>241</v>
      </c>
      <c r="G315" s="14" t="n">
        <v>7601</v>
      </c>
      <c r="H315" s="14" t="s">
        <v>166</v>
      </c>
      <c r="I315" s="14" t="s">
        <v>132</v>
      </c>
      <c r="J315" s="14" t="s">
        <v>144</v>
      </c>
      <c r="K315" s="15" t="n">
        <v>87.54</v>
      </c>
      <c r="L315" s="14" t="n">
        <v>3</v>
      </c>
      <c r="M315" s="16" t="n">
        <v>0</v>
      </c>
      <c r="N315" s="15" t="n">
        <v>37.6422</v>
      </c>
      <c r="O315" s="17" t="str">
        <f aca="false">UPPER(LEFT(F315,3))&amp;"-"&amp;G315</f>
        <v>NEW-7601</v>
      </c>
      <c r="P315" s="17" t="str">
        <f aca="false">PROPER(TRIM(E315))</f>
        <v>Hackensack</v>
      </c>
      <c r="Q315" s="17" t="str">
        <f aca="false">IFERROR(VLOOKUP(F315,Lookups!$A$2:$B$50,2,FALSE()),"Not found")</f>
        <v>East</v>
      </c>
      <c r="R315" s="17" t="str">
        <f aca="false">IF(Q315=H315,"Match","Mismatch")</f>
        <v>Match</v>
      </c>
      <c r="S315" s="17" t="str">
        <f aca="false">IFERROR(INDEX(SubCatCat,MATCH(J315,SubCatName,0)),"Not found")</f>
        <v>Furniture</v>
      </c>
      <c r="T315" s="18" t="n">
        <f aca="false">IF(K315=0,0,N315/K315)</f>
        <v>0.43</v>
      </c>
      <c r="U315" s="17" t="str">
        <f aca="false">IF(N315&lt;0,"Loss",IF(T315&gt;=0.2,"High margin","Normal"))</f>
        <v>High margin</v>
      </c>
      <c r="V315" s="17" t="str">
        <f aca="false">IF(M315=0,"No discount",IF(M315&lt;=0.2,"Low",IF(M315&lt;=0.4,"Medium","High")))</f>
        <v>No discount</v>
      </c>
      <c r="W315" s="17" t="str">
        <f aca="false">IF(OR(B315="Same Day",B315="First Class"),"Fast","Standard")</f>
        <v>Standard</v>
      </c>
      <c r="X315" s="19" t="n">
        <f aca="false">ROUND(K315/L315,2)</f>
        <v>29.18</v>
      </c>
    </row>
    <row r="316" customFormat="false" ht="15" hidden="false" customHeight="false" outlineLevel="0" collapsed="false">
      <c r="A316" s="14" t="n">
        <v>315</v>
      </c>
      <c r="B316" s="14" t="s">
        <v>139</v>
      </c>
      <c r="C316" s="14" t="s">
        <v>135</v>
      </c>
      <c r="D316" s="14" t="s">
        <v>128</v>
      </c>
      <c r="E316" s="14" t="s">
        <v>267</v>
      </c>
      <c r="F316" s="14" t="s">
        <v>141</v>
      </c>
      <c r="G316" s="14" t="n">
        <v>33710</v>
      </c>
      <c r="H316" s="14" t="s">
        <v>131</v>
      </c>
      <c r="I316" s="14" t="s">
        <v>5</v>
      </c>
      <c r="J316" s="14" t="s">
        <v>11</v>
      </c>
      <c r="K316" s="15" t="n">
        <v>178.384</v>
      </c>
      <c r="L316" s="14" t="n">
        <v>2</v>
      </c>
      <c r="M316" s="16" t="n">
        <v>0.2</v>
      </c>
      <c r="N316" s="15" t="n">
        <v>22.298</v>
      </c>
      <c r="O316" s="17" t="str">
        <f aca="false">UPPER(LEFT(F316,3))&amp;"-"&amp;G316</f>
        <v>FLO-33710</v>
      </c>
      <c r="P316" s="17" t="str">
        <f aca="false">PROPER(TRIM(E316))</f>
        <v>Saint Petersburg</v>
      </c>
      <c r="Q316" s="17" t="str">
        <f aca="false">IFERROR(VLOOKUP(F316,Lookups!$A$2:$B$50,2,FALSE()),"Not found")</f>
        <v>South</v>
      </c>
      <c r="R316" s="17" t="str">
        <f aca="false">IF(Q316=H316,"Match","Mismatch")</f>
        <v>Match</v>
      </c>
      <c r="S316" s="17" t="str">
        <f aca="false">IFERROR(INDEX(SubCatCat,MATCH(J316,SubCatName,0)),"Not found")</f>
        <v>Technology</v>
      </c>
      <c r="T316" s="18" t="n">
        <f aca="false">IF(K316=0,0,N316/K316)</f>
        <v>0.125</v>
      </c>
      <c r="U316" s="17" t="str">
        <f aca="false">IF(N316&lt;0,"Loss",IF(T316&gt;=0.2,"High margin","Normal"))</f>
        <v>Normal</v>
      </c>
      <c r="V316" s="17" t="str">
        <f aca="false">IF(M316=0,"No discount",IF(M316&lt;=0.2,"Low",IF(M316&lt;=0.4,"Medium","High")))</f>
        <v>Low</v>
      </c>
      <c r="W316" s="17" t="str">
        <f aca="false">IF(OR(B316="Same Day",B316="First Class"),"Fast","Standard")</f>
        <v>Standard</v>
      </c>
      <c r="X316" s="19" t="n">
        <f aca="false">ROUND(K316/L316,2)</f>
        <v>89.19</v>
      </c>
    </row>
    <row r="317" customFormat="false" ht="15" hidden="false" customHeight="false" outlineLevel="0" collapsed="false">
      <c r="A317" s="14" t="n">
        <v>316</v>
      </c>
      <c r="B317" s="14" t="s">
        <v>139</v>
      </c>
      <c r="C317" s="14" t="s">
        <v>135</v>
      </c>
      <c r="D317" s="14" t="s">
        <v>128</v>
      </c>
      <c r="E317" s="14" t="s">
        <v>267</v>
      </c>
      <c r="F317" s="14" t="s">
        <v>141</v>
      </c>
      <c r="G317" s="14" t="n">
        <v>33710</v>
      </c>
      <c r="H317" s="14" t="s">
        <v>131</v>
      </c>
      <c r="I317" s="14" t="s">
        <v>137</v>
      </c>
      <c r="J317" s="14" t="s">
        <v>150</v>
      </c>
      <c r="K317" s="15" t="n">
        <v>15.552</v>
      </c>
      <c r="L317" s="14" t="n">
        <v>3</v>
      </c>
      <c r="M317" s="16" t="n">
        <v>0.2</v>
      </c>
      <c r="N317" s="15" t="n">
        <v>5.4432</v>
      </c>
      <c r="O317" s="17" t="str">
        <f aca="false">UPPER(LEFT(F317,3))&amp;"-"&amp;G317</f>
        <v>FLO-33710</v>
      </c>
      <c r="P317" s="17" t="str">
        <f aca="false">PROPER(TRIM(E317))</f>
        <v>Saint Petersburg</v>
      </c>
      <c r="Q317" s="17" t="str">
        <f aca="false">IFERROR(VLOOKUP(F317,Lookups!$A$2:$B$50,2,FALSE()),"Not found")</f>
        <v>South</v>
      </c>
      <c r="R317" s="17" t="str">
        <f aca="false">IF(Q317=H317,"Match","Mismatch")</f>
        <v>Match</v>
      </c>
      <c r="S317" s="17" t="str">
        <f aca="false">IFERROR(INDEX(SubCatCat,MATCH(J317,SubCatName,0)),"Not found")</f>
        <v>Office Supplies</v>
      </c>
      <c r="T317" s="18" t="n">
        <f aca="false">IF(K317=0,0,N317/K317)</f>
        <v>0.35</v>
      </c>
      <c r="U317" s="17" t="str">
        <f aca="false">IF(N317&lt;0,"Loss",IF(T317&gt;=0.2,"High margin","Normal"))</f>
        <v>High margin</v>
      </c>
      <c r="V317" s="17" t="str">
        <f aca="false">IF(M317=0,"No discount",IF(M317&lt;=0.2,"Low",IF(M317&lt;=0.4,"Medium","High")))</f>
        <v>Low</v>
      </c>
      <c r="W317" s="17" t="str">
        <f aca="false">IF(OR(B317="Same Day",B317="First Class"),"Fast","Standard")</f>
        <v>Standard</v>
      </c>
      <c r="X317" s="19" t="n">
        <f aca="false">ROUND(K317/L317,2)</f>
        <v>5.18</v>
      </c>
    </row>
    <row r="318" customFormat="false" ht="15" hidden="false" customHeight="false" outlineLevel="0" collapsed="false">
      <c r="A318" s="14" t="n">
        <v>317</v>
      </c>
      <c r="B318" s="14" t="s">
        <v>171</v>
      </c>
      <c r="C318" s="14" t="s">
        <v>135</v>
      </c>
      <c r="D318" s="14" t="s">
        <v>128</v>
      </c>
      <c r="E318" s="14" t="s">
        <v>164</v>
      </c>
      <c r="F318" s="14" t="s">
        <v>165</v>
      </c>
      <c r="G318" s="14" t="n">
        <v>19143</v>
      </c>
      <c r="H318" s="14" t="s">
        <v>166</v>
      </c>
      <c r="I318" s="14" t="s">
        <v>137</v>
      </c>
      <c r="J318" s="14" t="s">
        <v>145</v>
      </c>
      <c r="K318" s="15" t="n">
        <v>99.136</v>
      </c>
      <c r="L318" s="14" t="n">
        <v>4</v>
      </c>
      <c r="M318" s="16" t="n">
        <v>0.2</v>
      </c>
      <c r="N318" s="15" t="n">
        <v>8.6744</v>
      </c>
      <c r="O318" s="17" t="str">
        <f aca="false">UPPER(LEFT(F318,3))&amp;"-"&amp;G318</f>
        <v>PEN-19143</v>
      </c>
      <c r="P318" s="17" t="str">
        <f aca="false">PROPER(TRIM(E318))</f>
        <v>Philadelphia</v>
      </c>
      <c r="Q318" s="17" t="str">
        <f aca="false">IFERROR(VLOOKUP(F318,Lookups!$A$2:$B$50,2,FALSE()),"Not found")</f>
        <v>East</v>
      </c>
      <c r="R318" s="17" t="str">
        <f aca="false">IF(Q318=H318,"Match","Mismatch")</f>
        <v>Match</v>
      </c>
      <c r="S318" s="17" t="str">
        <f aca="false">IFERROR(INDEX(SubCatCat,MATCH(J318,SubCatName,0)),"Not found")</f>
        <v>Office Supplies</v>
      </c>
      <c r="T318" s="18" t="n">
        <f aca="false">IF(K318=0,0,N318/K318)</f>
        <v>0.0875</v>
      </c>
      <c r="U318" s="17" t="str">
        <f aca="false">IF(N318&lt;0,"Loss",IF(T318&gt;=0.2,"High margin","Normal"))</f>
        <v>Normal</v>
      </c>
      <c r="V318" s="17" t="str">
        <f aca="false">IF(M318=0,"No discount",IF(M318&lt;=0.2,"Low",IF(M318&lt;=0.4,"Medium","High")))</f>
        <v>Low</v>
      </c>
      <c r="W318" s="17" t="str">
        <f aca="false">IF(OR(B318="Same Day",B318="First Class"),"Fast","Standard")</f>
        <v>Fast</v>
      </c>
      <c r="X318" s="19" t="n">
        <f aca="false">ROUND(K318/L318,2)</f>
        <v>24.78</v>
      </c>
    </row>
    <row r="319" customFormat="false" ht="15" hidden="false" customHeight="false" outlineLevel="0" collapsed="false">
      <c r="A319" s="14" t="n">
        <v>318</v>
      </c>
      <c r="B319" s="14" t="s">
        <v>139</v>
      </c>
      <c r="C319" s="14" t="s">
        <v>153</v>
      </c>
      <c r="D319" s="14" t="s">
        <v>128</v>
      </c>
      <c r="E319" s="14" t="s">
        <v>184</v>
      </c>
      <c r="F319" s="14" t="s">
        <v>185</v>
      </c>
      <c r="G319" s="14" t="n">
        <v>10024</v>
      </c>
      <c r="H319" s="14" t="s">
        <v>166</v>
      </c>
      <c r="I319" s="14" t="s">
        <v>132</v>
      </c>
      <c r="J319" s="14" t="s">
        <v>134</v>
      </c>
      <c r="K319" s="15" t="n">
        <v>135.882</v>
      </c>
      <c r="L319" s="14" t="n">
        <v>1</v>
      </c>
      <c r="M319" s="16" t="n">
        <v>0.1</v>
      </c>
      <c r="N319" s="15" t="n">
        <v>24.1568</v>
      </c>
      <c r="O319" s="17" t="str">
        <f aca="false">UPPER(LEFT(F319,3))&amp;"-"&amp;G319</f>
        <v>NEW-10024</v>
      </c>
      <c r="P319" s="17" t="str">
        <f aca="false">PROPER(TRIM(E319))</f>
        <v>New York City</v>
      </c>
      <c r="Q319" s="17" t="str">
        <f aca="false">IFERROR(VLOOKUP(F319,Lookups!$A$2:$B$50,2,FALSE()),"Not found")</f>
        <v>East</v>
      </c>
      <c r="R319" s="17" t="str">
        <f aca="false">IF(Q319=H319,"Match","Mismatch")</f>
        <v>Match</v>
      </c>
      <c r="S319" s="17" t="str">
        <f aca="false">IFERROR(INDEX(SubCatCat,MATCH(J319,SubCatName,0)),"Not found")</f>
        <v>Furniture</v>
      </c>
      <c r="T319" s="18" t="n">
        <f aca="false">IF(K319=0,0,N319/K319)</f>
        <v>0.177777777777778</v>
      </c>
      <c r="U319" s="17" t="str">
        <f aca="false">IF(N319&lt;0,"Loss",IF(T319&gt;=0.2,"High margin","Normal"))</f>
        <v>Normal</v>
      </c>
      <c r="V319" s="17" t="str">
        <f aca="false">IF(M319=0,"No discount",IF(M319&lt;=0.2,"Low",IF(M319&lt;=0.4,"Medium","High")))</f>
        <v>Low</v>
      </c>
      <c r="W319" s="17" t="str">
        <f aca="false">IF(OR(B319="Same Day",B319="First Class"),"Fast","Standard")</f>
        <v>Standard</v>
      </c>
      <c r="X319" s="19" t="n">
        <f aca="false">ROUND(K319/L319,2)</f>
        <v>135.88</v>
      </c>
    </row>
    <row r="320" customFormat="false" ht="15" hidden="false" customHeight="false" outlineLevel="0" collapsed="false">
      <c r="A320" s="14" t="n">
        <v>319</v>
      </c>
      <c r="B320" s="14" t="s">
        <v>139</v>
      </c>
      <c r="C320" s="14" t="s">
        <v>153</v>
      </c>
      <c r="D320" s="14" t="s">
        <v>128</v>
      </c>
      <c r="E320" s="14" t="s">
        <v>184</v>
      </c>
      <c r="F320" s="14" t="s">
        <v>185</v>
      </c>
      <c r="G320" s="14" t="n">
        <v>10024</v>
      </c>
      <c r="H320" s="14" t="s">
        <v>166</v>
      </c>
      <c r="I320" s="14" t="s">
        <v>5</v>
      </c>
      <c r="J320" s="14" t="s">
        <v>232</v>
      </c>
      <c r="K320" s="15" t="n">
        <v>3991.98</v>
      </c>
      <c r="L320" s="14" t="n">
        <v>2</v>
      </c>
      <c r="M320" s="16" t="n">
        <v>0</v>
      </c>
      <c r="N320" s="15" t="n">
        <v>1995.99</v>
      </c>
      <c r="O320" s="17" t="str">
        <f aca="false">UPPER(LEFT(F320,3))&amp;"-"&amp;G320</f>
        <v>NEW-10024</v>
      </c>
      <c r="P320" s="17" t="str">
        <f aca="false">PROPER(TRIM(E320))</f>
        <v>New York City</v>
      </c>
      <c r="Q320" s="17" t="str">
        <f aca="false">IFERROR(VLOOKUP(F320,Lookups!$A$2:$B$50,2,FALSE()),"Not found")</f>
        <v>East</v>
      </c>
      <c r="R320" s="17" t="str">
        <f aca="false">IF(Q320=H320,"Match","Mismatch")</f>
        <v>Match</v>
      </c>
      <c r="S320" s="17" t="str">
        <f aca="false">IFERROR(INDEX(SubCatCat,MATCH(J320,SubCatName,0)),"Not found")</f>
        <v>Technology</v>
      </c>
      <c r="T320" s="18" t="n">
        <f aca="false">IF(K320=0,0,N320/K320)</f>
        <v>0.5</v>
      </c>
      <c r="U320" s="17" t="str">
        <f aca="false">IF(N320&lt;0,"Loss",IF(T320&gt;=0.2,"High margin","Normal"))</f>
        <v>High margin</v>
      </c>
      <c r="V320" s="17" t="str">
        <f aca="false">IF(M320=0,"No discount",IF(M320&lt;=0.2,"Low",IF(M320&lt;=0.4,"Medium","High")))</f>
        <v>No discount</v>
      </c>
      <c r="W320" s="17" t="str">
        <f aca="false">IF(OR(B320="Same Day",B320="First Class"),"Fast","Standard")</f>
        <v>Standard</v>
      </c>
      <c r="X320" s="19" t="n">
        <f aca="false">ROUND(K320/L320,2)</f>
        <v>1995.99</v>
      </c>
    </row>
    <row r="321" customFormat="false" ht="15" hidden="false" customHeight="false" outlineLevel="0" collapsed="false">
      <c r="A321" s="14" t="n">
        <v>320</v>
      </c>
      <c r="B321" s="14" t="s">
        <v>139</v>
      </c>
      <c r="C321" s="14" t="s">
        <v>153</v>
      </c>
      <c r="D321" s="14" t="s">
        <v>128</v>
      </c>
      <c r="E321" s="14" t="s">
        <v>184</v>
      </c>
      <c r="F321" s="14" t="s">
        <v>185</v>
      </c>
      <c r="G321" s="14" t="n">
        <v>10024</v>
      </c>
      <c r="H321" s="14" t="s">
        <v>166</v>
      </c>
      <c r="I321" s="14" t="s">
        <v>5</v>
      </c>
      <c r="J321" s="14" t="s">
        <v>11</v>
      </c>
      <c r="K321" s="15" t="n">
        <v>275.94</v>
      </c>
      <c r="L321" s="14" t="n">
        <v>6</v>
      </c>
      <c r="M321" s="16" t="n">
        <v>0</v>
      </c>
      <c r="N321" s="15" t="n">
        <v>80.0226</v>
      </c>
      <c r="O321" s="17" t="str">
        <f aca="false">UPPER(LEFT(F321,3))&amp;"-"&amp;G321</f>
        <v>NEW-10024</v>
      </c>
      <c r="P321" s="17" t="str">
        <f aca="false">PROPER(TRIM(E321))</f>
        <v>New York City</v>
      </c>
      <c r="Q321" s="17" t="str">
        <f aca="false">IFERROR(VLOOKUP(F321,Lookups!$A$2:$B$50,2,FALSE()),"Not found")</f>
        <v>East</v>
      </c>
      <c r="R321" s="17" t="str">
        <f aca="false">IF(Q321=H321,"Match","Mismatch")</f>
        <v>Match</v>
      </c>
      <c r="S321" s="17" t="str">
        <f aca="false">IFERROR(INDEX(SubCatCat,MATCH(J321,SubCatName,0)),"Not found")</f>
        <v>Technology</v>
      </c>
      <c r="T321" s="18" t="n">
        <f aca="false">IF(K321=0,0,N321/K321)</f>
        <v>0.29</v>
      </c>
      <c r="U321" s="17" t="str">
        <f aca="false">IF(N321&lt;0,"Loss",IF(T321&gt;=0.2,"High margin","Normal"))</f>
        <v>High margin</v>
      </c>
      <c r="V321" s="17" t="str">
        <f aca="false">IF(M321=0,"No discount",IF(M321&lt;=0.2,"Low",IF(M321&lt;=0.4,"Medium","High")))</f>
        <v>No discount</v>
      </c>
      <c r="W321" s="17" t="str">
        <f aca="false">IF(OR(B321="Same Day",B321="First Class"),"Fast","Standard")</f>
        <v>Standard</v>
      </c>
      <c r="X321" s="19" t="n">
        <f aca="false">ROUND(K321/L321,2)</f>
        <v>45.99</v>
      </c>
    </row>
    <row r="322" customFormat="false" ht="15" hidden="false" customHeight="false" outlineLevel="0" collapsed="false">
      <c r="A322" s="14" t="n">
        <v>321</v>
      </c>
      <c r="B322" s="14" t="s">
        <v>139</v>
      </c>
      <c r="C322" s="14" t="s">
        <v>153</v>
      </c>
      <c r="D322" s="14" t="s">
        <v>128</v>
      </c>
      <c r="E322" s="14" t="s">
        <v>184</v>
      </c>
      <c r="F322" s="14" t="s">
        <v>185</v>
      </c>
      <c r="G322" s="14" t="n">
        <v>10024</v>
      </c>
      <c r="H322" s="14" t="s">
        <v>166</v>
      </c>
      <c r="I322" s="14" t="s">
        <v>5</v>
      </c>
      <c r="J322" s="14" t="s">
        <v>168</v>
      </c>
      <c r="K322" s="15" t="n">
        <v>360</v>
      </c>
      <c r="L322" s="14" t="n">
        <v>4</v>
      </c>
      <c r="M322" s="16" t="n">
        <v>0</v>
      </c>
      <c r="N322" s="15" t="n">
        <v>129.6</v>
      </c>
      <c r="O322" s="17" t="str">
        <f aca="false">UPPER(LEFT(F322,3))&amp;"-"&amp;G322</f>
        <v>NEW-10024</v>
      </c>
      <c r="P322" s="17" t="str">
        <f aca="false">PROPER(TRIM(E322))</f>
        <v>New York City</v>
      </c>
      <c r="Q322" s="17" t="str">
        <f aca="false">IFERROR(VLOOKUP(F322,Lookups!$A$2:$B$50,2,FALSE()),"Not found")</f>
        <v>East</v>
      </c>
      <c r="R322" s="17" t="str">
        <f aca="false">IF(Q322=H322,"Match","Mismatch")</f>
        <v>Match</v>
      </c>
      <c r="S322" s="17" t="str">
        <f aca="false">IFERROR(INDEX(SubCatCat,MATCH(J322,SubCatName,0)),"Not found")</f>
        <v>Technology</v>
      </c>
      <c r="T322" s="18" t="n">
        <f aca="false">IF(K322=0,0,N322/K322)</f>
        <v>0.36</v>
      </c>
      <c r="U322" s="17" t="str">
        <f aca="false">IF(N322&lt;0,"Loss",IF(T322&gt;=0.2,"High margin","Normal"))</f>
        <v>High margin</v>
      </c>
      <c r="V322" s="17" t="str">
        <f aca="false">IF(M322=0,"No discount",IF(M322&lt;=0.2,"Low",IF(M322&lt;=0.4,"Medium","High")))</f>
        <v>No discount</v>
      </c>
      <c r="W322" s="17" t="str">
        <f aca="false">IF(OR(B322="Same Day",B322="First Class"),"Fast","Standard")</f>
        <v>Standard</v>
      </c>
      <c r="X322" s="19" t="n">
        <f aca="false">ROUND(K322/L322,2)</f>
        <v>90</v>
      </c>
    </row>
    <row r="323" customFormat="false" ht="15" hidden="false" customHeight="false" outlineLevel="0" collapsed="false">
      <c r="A323" s="14" t="n">
        <v>322</v>
      </c>
      <c r="B323" s="14" t="s">
        <v>139</v>
      </c>
      <c r="C323" s="14" t="s">
        <v>153</v>
      </c>
      <c r="D323" s="14" t="s">
        <v>128</v>
      </c>
      <c r="E323" s="14" t="s">
        <v>184</v>
      </c>
      <c r="F323" s="14" t="s">
        <v>185</v>
      </c>
      <c r="G323" s="14" t="n">
        <v>10024</v>
      </c>
      <c r="H323" s="14" t="s">
        <v>166</v>
      </c>
      <c r="I323" s="14" t="s">
        <v>137</v>
      </c>
      <c r="J323" s="14" t="s">
        <v>143</v>
      </c>
      <c r="K323" s="15" t="n">
        <v>43.57</v>
      </c>
      <c r="L323" s="14" t="n">
        <v>1</v>
      </c>
      <c r="M323" s="16" t="n">
        <v>0</v>
      </c>
      <c r="N323" s="15" t="n">
        <v>13.071</v>
      </c>
      <c r="O323" s="17" t="str">
        <f aca="false">UPPER(LEFT(F323,3))&amp;"-"&amp;G323</f>
        <v>NEW-10024</v>
      </c>
      <c r="P323" s="17" t="str">
        <f aca="false">PROPER(TRIM(E323))</f>
        <v>New York City</v>
      </c>
      <c r="Q323" s="17" t="str">
        <f aca="false">IFERROR(VLOOKUP(F323,Lookups!$A$2:$B$50,2,FALSE()),"Not found")</f>
        <v>East</v>
      </c>
      <c r="R323" s="17" t="str">
        <f aca="false">IF(Q323=H323,"Match","Mismatch")</f>
        <v>Match</v>
      </c>
      <c r="S323" s="17" t="str">
        <f aca="false">IFERROR(INDEX(SubCatCat,MATCH(J323,SubCatName,0)),"Not found")</f>
        <v>Office Supplies</v>
      </c>
      <c r="T323" s="18" t="n">
        <f aca="false">IF(K323=0,0,N323/K323)</f>
        <v>0.3</v>
      </c>
      <c r="U323" s="17" t="str">
        <f aca="false">IF(N323&lt;0,"Loss",IF(T323&gt;=0.2,"High margin","Normal"))</f>
        <v>High margin</v>
      </c>
      <c r="V323" s="17" t="str">
        <f aca="false">IF(M323=0,"No discount",IF(M323&lt;=0.2,"Low",IF(M323&lt;=0.4,"Medium","High")))</f>
        <v>No discount</v>
      </c>
      <c r="W323" s="17" t="str">
        <f aca="false">IF(OR(B323="Same Day",B323="First Class"),"Fast","Standard")</f>
        <v>Standard</v>
      </c>
      <c r="X323" s="19" t="n">
        <f aca="false">ROUND(K323/L323,2)</f>
        <v>43.57</v>
      </c>
    </row>
    <row r="324" customFormat="false" ht="15" hidden="false" customHeight="false" outlineLevel="0" collapsed="false">
      <c r="A324" s="14" t="n">
        <v>323</v>
      </c>
      <c r="B324" s="14" t="s">
        <v>139</v>
      </c>
      <c r="C324" s="14" t="s">
        <v>135</v>
      </c>
      <c r="D324" s="14" t="s">
        <v>128</v>
      </c>
      <c r="E324" s="14" t="s">
        <v>268</v>
      </c>
      <c r="F324" s="14" t="s">
        <v>9</v>
      </c>
      <c r="G324" s="14" t="n">
        <v>90805</v>
      </c>
      <c r="H324" s="14" t="s">
        <v>3</v>
      </c>
      <c r="I324" s="14" t="s">
        <v>137</v>
      </c>
      <c r="J324" s="14" t="s">
        <v>186</v>
      </c>
      <c r="K324" s="15" t="n">
        <v>7.16</v>
      </c>
      <c r="L324" s="14" t="n">
        <v>2</v>
      </c>
      <c r="M324" s="16" t="n">
        <v>0</v>
      </c>
      <c r="N324" s="15" t="n">
        <v>3.58</v>
      </c>
      <c r="O324" s="17" t="str">
        <f aca="false">UPPER(LEFT(F324,3))&amp;"-"&amp;G324</f>
        <v>CAL-90805</v>
      </c>
      <c r="P324" s="17" t="str">
        <f aca="false">PROPER(TRIM(E324))</f>
        <v>Long Beach</v>
      </c>
      <c r="Q324" s="17" t="str">
        <f aca="false">IFERROR(VLOOKUP(F324,Lookups!$A$2:$B$50,2,FALSE()),"Not found")</f>
        <v>West</v>
      </c>
      <c r="R324" s="17" t="str">
        <f aca="false">IF(Q324=H324,"Match","Mismatch")</f>
        <v>Match</v>
      </c>
      <c r="S324" s="17" t="str">
        <f aca="false">IFERROR(INDEX(SubCatCat,MATCH(J324,SubCatName,0)),"Not found")</f>
        <v>Office Supplies</v>
      </c>
      <c r="T324" s="18" t="n">
        <f aca="false">IF(K324=0,0,N324/K324)</f>
        <v>0.5</v>
      </c>
      <c r="U324" s="17" t="str">
        <f aca="false">IF(N324&lt;0,"Loss",IF(T324&gt;=0.2,"High margin","Normal"))</f>
        <v>High margin</v>
      </c>
      <c r="V324" s="17" t="str">
        <f aca="false">IF(M324=0,"No discount",IF(M324&lt;=0.2,"Low",IF(M324&lt;=0.4,"Medium","High")))</f>
        <v>No discount</v>
      </c>
      <c r="W324" s="17" t="str">
        <f aca="false">IF(OR(B324="Same Day",B324="First Class"),"Fast","Standard")</f>
        <v>Standard</v>
      </c>
      <c r="X324" s="19" t="n">
        <f aca="false">ROUND(K324/L324,2)</f>
        <v>3.58</v>
      </c>
    </row>
    <row r="325" customFormat="false" ht="15" hidden="false" customHeight="false" outlineLevel="0" collapsed="false">
      <c r="A325" s="14" t="n">
        <v>324</v>
      </c>
      <c r="B325" s="14" t="s">
        <v>139</v>
      </c>
      <c r="C325" s="14" t="s">
        <v>135</v>
      </c>
      <c r="D325" s="14" t="s">
        <v>128</v>
      </c>
      <c r="E325" s="14" t="s">
        <v>269</v>
      </c>
      <c r="F325" s="14" t="s">
        <v>9</v>
      </c>
      <c r="G325" s="14" t="n">
        <v>92345</v>
      </c>
      <c r="H325" s="14" t="s">
        <v>3</v>
      </c>
      <c r="I325" s="14" t="s">
        <v>137</v>
      </c>
      <c r="J325" s="14" t="s">
        <v>146</v>
      </c>
      <c r="K325" s="15" t="n">
        <v>251.52</v>
      </c>
      <c r="L325" s="14" t="n">
        <v>6</v>
      </c>
      <c r="M325" s="16" t="n">
        <v>0.2</v>
      </c>
      <c r="N325" s="15" t="n">
        <v>81.744</v>
      </c>
      <c r="O325" s="17" t="str">
        <f aca="false">UPPER(LEFT(F325,3))&amp;"-"&amp;G325</f>
        <v>CAL-92345</v>
      </c>
      <c r="P325" s="17" t="str">
        <f aca="false">PROPER(TRIM(E325))</f>
        <v>Hesperia</v>
      </c>
      <c r="Q325" s="17" t="str">
        <f aca="false">IFERROR(VLOOKUP(F325,Lookups!$A$2:$B$50,2,FALSE()),"Not found")</f>
        <v>West</v>
      </c>
      <c r="R325" s="17" t="str">
        <f aca="false">IF(Q325=H325,"Match","Mismatch")</f>
        <v>Match</v>
      </c>
      <c r="S325" s="17" t="str">
        <f aca="false">IFERROR(INDEX(SubCatCat,MATCH(J325,SubCatName,0)),"Not found")</f>
        <v>Office Supplies</v>
      </c>
      <c r="T325" s="18" t="n">
        <f aca="false">IF(K325=0,0,N325/K325)</f>
        <v>0.325</v>
      </c>
      <c r="U325" s="17" t="str">
        <f aca="false">IF(N325&lt;0,"Loss",IF(T325&gt;=0.2,"High margin","Normal"))</f>
        <v>High margin</v>
      </c>
      <c r="V325" s="17" t="str">
        <f aca="false">IF(M325=0,"No discount",IF(M325&lt;=0.2,"Low",IF(M325&lt;=0.4,"Medium","High")))</f>
        <v>Low</v>
      </c>
      <c r="W325" s="17" t="str">
        <f aca="false">IF(OR(B325="Same Day",B325="First Class"),"Fast","Standard")</f>
        <v>Standard</v>
      </c>
      <c r="X325" s="19" t="n">
        <f aca="false">ROUND(K325/L325,2)</f>
        <v>41.92</v>
      </c>
    </row>
    <row r="326" customFormat="false" ht="15" hidden="false" customHeight="false" outlineLevel="0" collapsed="false">
      <c r="A326" s="14" t="n">
        <v>325</v>
      </c>
      <c r="B326" s="14" t="s">
        <v>139</v>
      </c>
      <c r="C326" s="14" t="s">
        <v>135</v>
      </c>
      <c r="D326" s="14" t="s">
        <v>128</v>
      </c>
      <c r="E326" s="14" t="s">
        <v>269</v>
      </c>
      <c r="F326" s="14" t="s">
        <v>9</v>
      </c>
      <c r="G326" s="14" t="n">
        <v>92345</v>
      </c>
      <c r="H326" s="14" t="s">
        <v>3</v>
      </c>
      <c r="I326" s="14" t="s">
        <v>5</v>
      </c>
      <c r="J326" s="14" t="s">
        <v>168</v>
      </c>
      <c r="K326" s="15" t="n">
        <v>99.99</v>
      </c>
      <c r="L326" s="14" t="n">
        <v>1</v>
      </c>
      <c r="M326" s="16" t="n">
        <v>0</v>
      </c>
      <c r="N326" s="15" t="n">
        <v>34.9965</v>
      </c>
      <c r="O326" s="17" t="str">
        <f aca="false">UPPER(LEFT(F326,3))&amp;"-"&amp;G326</f>
        <v>CAL-92345</v>
      </c>
      <c r="P326" s="17" t="str">
        <f aca="false">PROPER(TRIM(E326))</f>
        <v>Hesperia</v>
      </c>
      <c r="Q326" s="17" t="str">
        <f aca="false">IFERROR(VLOOKUP(F326,Lookups!$A$2:$B$50,2,FALSE()),"Not found")</f>
        <v>West</v>
      </c>
      <c r="R326" s="17" t="str">
        <f aca="false">IF(Q326=H326,"Match","Mismatch")</f>
        <v>Match</v>
      </c>
      <c r="S326" s="17" t="str">
        <f aca="false">IFERROR(INDEX(SubCatCat,MATCH(J326,SubCatName,0)),"Not found")</f>
        <v>Technology</v>
      </c>
      <c r="T326" s="18" t="n">
        <f aca="false">IF(K326=0,0,N326/K326)</f>
        <v>0.35</v>
      </c>
      <c r="U326" s="17" t="str">
        <f aca="false">IF(N326&lt;0,"Loss",IF(T326&gt;=0.2,"High margin","Normal"))</f>
        <v>High margin</v>
      </c>
      <c r="V326" s="17" t="str">
        <f aca="false">IF(M326=0,"No discount",IF(M326&lt;=0.2,"Low",IF(M326&lt;=0.4,"Medium","High")))</f>
        <v>No discount</v>
      </c>
      <c r="W326" s="17" t="str">
        <f aca="false">IF(OR(B326="Same Day",B326="First Class"),"Fast","Standard")</f>
        <v>Standard</v>
      </c>
      <c r="X326" s="19" t="n">
        <f aca="false">ROUND(K326/L326,2)</f>
        <v>99.99</v>
      </c>
    </row>
    <row r="327" customFormat="false" ht="15" hidden="false" customHeight="false" outlineLevel="0" collapsed="false">
      <c r="A327" s="14" t="n">
        <v>326</v>
      </c>
      <c r="B327" s="14" t="s">
        <v>127</v>
      </c>
      <c r="C327" s="14" t="s">
        <v>135</v>
      </c>
      <c r="D327" s="14" t="s">
        <v>128</v>
      </c>
      <c r="E327" s="14" t="s">
        <v>270</v>
      </c>
      <c r="F327" s="14" t="s">
        <v>195</v>
      </c>
      <c r="G327" s="14" t="n">
        <v>37130</v>
      </c>
      <c r="H327" s="14" t="s">
        <v>131</v>
      </c>
      <c r="I327" s="14" t="s">
        <v>132</v>
      </c>
      <c r="J327" s="14" t="s">
        <v>144</v>
      </c>
      <c r="K327" s="15" t="n">
        <v>15.992</v>
      </c>
      <c r="L327" s="14" t="n">
        <v>1</v>
      </c>
      <c r="M327" s="16" t="n">
        <v>0.2</v>
      </c>
      <c r="N327" s="15" t="n">
        <v>0.9995</v>
      </c>
      <c r="O327" s="17" t="str">
        <f aca="false">UPPER(LEFT(F327,3))&amp;"-"&amp;G327</f>
        <v>TEN-37130</v>
      </c>
      <c r="P327" s="17" t="str">
        <f aca="false">PROPER(TRIM(E327))</f>
        <v>Murfreesboro</v>
      </c>
      <c r="Q327" s="17" t="str">
        <f aca="false">IFERROR(VLOOKUP(F327,Lookups!$A$2:$B$50,2,FALSE()),"Not found")</f>
        <v>South</v>
      </c>
      <c r="R327" s="17" t="str">
        <f aca="false">IF(Q327=H327,"Match","Mismatch")</f>
        <v>Match</v>
      </c>
      <c r="S327" s="17" t="str">
        <f aca="false">IFERROR(INDEX(SubCatCat,MATCH(J327,SubCatName,0)),"Not found")</f>
        <v>Furniture</v>
      </c>
      <c r="T327" s="18" t="n">
        <f aca="false">IF(K327=0,0,N327/K327)</f>
        <v>0.0625</v>
      </c>
      <c r="U327" s="17" t="str">
        <f aca="false">IF(N327&lt;0,"Loss",IF(T327&gt;=0.2,"High margin","Normal"))</f>
        <v>Normal</v>
      </c>
      <c r="V327" s="17" t="str">
        <f aca="false">IF(M327=0,"No discount",IF(M327&lt;=0.2,"Low",IF(M327&lt;=0.4,"Medium","High")))</f>
        <v>Low</v>
      </c>
      <c r="W327" s="17" t="str">
        <f aca="false">IF(OR(B327="Same Day",B327="First Class"),"Fast","Standard")</f>
        <v>Standard</v>
      </c>
      <c r="X327" s="19" t="n">
        <f aca="false">ROUND(K327/L327,2)</f>
        <v>15.99</v>
      </c>
    </row>
    <row r="328" customFormat="false" ht="15" hidden="false" customHeight="false" outlineLevel="0" collapsed="false">
      <c r="A328" s="14" t="n">
        <v>327</v>
      </c>
      <c r="B328" s="14" t="s">
        <v>171</v>
      </c>
      <c r="C328" s="14" t="s">
        <v>7</v>
      </c>
      <c r="D328" s="14" t="s">
        <v>128</v>
      </c>
      <c r="E328" s="14" t="s">
        <v>164</v>
      </c>
      <c r="F328" s="14" t="s">
        <v>165</v>
      </c>
      <c r="G328" s="14" t="n">
        <v>19143</v>
      </c>
      <c r="H328" s="14" t="s">
        <v>166</v>
      </c>
      <c r="I328" s="14" t="s">
        <v>5</v>
      </c>
      <c r="J328" s="14" t="s">
        <v>11</v>
      </c>
      <c r="K328" s="15" t="n">
        <v>290.898</v>
      </c>
      <c r="L328" s="14" t="n">
        <v>3</v>
      </c>
      <c r="M328" s="16" t="n">
        <v>0.4</v>
      </c>
      <c r="N328" s="15" t="n">
        <v>-67.8762</v>
      </c>
      <c r="O328" s="17" t="str">
        <f aca="false">UPPER(LEFT(F328,3))&amp;"-"&amp;G328</f>
        <v>PEN-19143</v>
      </c>
      <c r="P328" s="17" t="str">
        <f aca="false">PROPER(TRIM(E328))</f>
        <v>Philadelphia</v>
      </c>
      <c r="Q328" s="17" t="str">
        <f aca="false">IFERROR(VLOOKUP(F328,Lookups!$A$2:$B$50,2,FALSE()),"Not found")</f>
        <v>East</v>
      </c>
      <c r="R328" s="17" t="str">
        <f aca="false">IF(Q328=H328,"Match","Mismatch")</f>
        <v>Match</v>
      </c>
      <c r="S328" s="17" t="str">
        <f aca="false">IFERROR(INDEX(SubCatCat,MATCH(J328,SubCatName,0)),"Not found")</f>
        <v>Technology</v>
      </c>
      <c r="T328" s="18" t="n">
        <f aca="false">IF(K328=0,0,N328/K328)</f>
        <v>-0.233333333333333</v>
      </c>
      <c r="U328" s="17" t="str">
        <f aca="false">IF(N328&lt;0,"Loss",IF(T328&gt;=0.2,"High margin","Normal"))</f>
        <v>Loss</v>
      </c>
      <c r="V328" s="17" t="str">
        <f aca="false">IF(M328=0,"No discount",IF(M328&lt;=0.2,"Low",IF(M328&lt;=0.4,"Medium","High")))</f>
        <v>Medium</v>
      </c>
      <c r="W328" s="17" t="str">
        <f aca="false">IF(OR(B328="Same Day",B328="First Class"),"Fast","Standard")</f>
        <v>Fast</v>
      </c>
      <c r="X328" s="19" t="n">
        <f aca="false">ROUND(K328/L328,2)</f>
        <v>96.97</v>
      </c>
    </row>
    <row r="329" customFormat="false" ht="15" hidden="false" customHeight="false" outlineLevel="0" collapsed="false">
      <c r="A329" s="14" t="n">
        <v>328</v>
      </c>
      <c r="B329" s="14" t="s">
        <v>171</v>
      </c>
      <c r="C329" s="14" t="s">
        <v>7</v>
      </c>
      <c r="D329" s="14" t="s">
        <v>128</v>
      </c>
      <c r="E329" s="14" t="s">
        <v>164</v>
      </c>
      <c r="F329" s="14" t="s">
        <v>165</v>
      </c>
      <c r="G329" s="14" t="n">
        <v>19143</v>
      </c>
      <c r="H329" s="14" t="s">
        <v>166</v>
      </c>
      <c r="I329" s="14" t="s">
        <v>137</v>
      </c>
      <c r="J329" s="14" t="s">
        <v>143</v>
      </c>
      <c r="K329" s="15" t="n">
        <v>54.224</v>
      </c>
      <c r="L329" s="14" t="n">
        <v>2</v>
      </c>
      <c r="M329" s="16" t="n">
        <v>0.2</v>
      </c>
      <c r="N329" s="15" t="n">
        <v>3.389</v>
      </c>
      <c r="O329" s="17" t="str">
        <f aca="false">UPPER(LEFT(F329,3))&amp;"-"&amp;G329</f>
        <v>PEN-19143</v>
      </c>
      <c r="P329" s="17" t="str">
        <f aca="false">PROPER(TRIM(E329))</f>
        <v>Philadelphia</v>
      </c>
      <c r="Q329" s="17" t="str">
        <f aca="false">IFERROR(VLOOKUP(F329,Lookups!$A$2:$B$50,2,FALSE()),"Not found")</f>
        <v>East</v>
      </c>
      <c r="R329" s="17" t="str">
        <f aca="false">IF(Q329=H329,"Match","Mismatch")</f>
        <v>Match</v>
      </c>
      <c r="S329" s="17" t="str">
        <f aca="false">IFERROR(INDEX(SubCatCat,MATCH(J329,SubCatName,0)),"Not found")</f>
        <v>Office Supplies</v>
      </c>
      <c r="T329" s="18" t="n">
        <f aca="false">IF(K329=0,0,N329/K329)</f>
        <v>0.0625</v>
      </c>
      <c r="U329" s="17" t="str">
        <f aca="false">IF(N329&lt;0,"Loss",IF(T329&gt;=0.2,"High margin","Normal"))</f>
        <v>Normal</v>
      </c>
      <c r="V329" s="17" t="str">
        <f aca="false">IF(M329=0,"No discount",IF(M329&lt;=0.2,"Low",IF(M329&lt;=0.4,"Medium","High")))</f>
        <v>Low</v>
      </c>
      <c r="W329" s="17" t="str">
        <f aca="false">IF(OR(B329="Same Day",B329="First Class"),"Fast","Standard")</f>
        <v>Fast</v>
      </c>
      <c r="X329" s="19" t="n">
        <f aca="false">ROUND(K329/L329,2)</f>
        <v>27.11</v>
      </c>
    </row>
    <row r="330" customFormat="false" ht="15" hidden="false" customHeight="false" outlineLevel="0" collapsed="false">
      <c r="A330" s="14" t="n">
        <v>329</v>
      </c>
      <c r="B330" s="14" t="s">
        <v>171</v>
      </c>
      <c r="C330" s="14" t="s">
        <v>7</v>
      </c>
      <c r="D330" s="14" t="s">
        <v>128</v>
      </c>
      <c r="E330" s="14" t="s">
        <v>164</v>
      </c>
      <c r="F330" s="14" t="s">
        <v>165</v>
      </c>
      <c r="G330" s="14" t="n">
        <v>19143</v>
      </c>
      <c r="H330" s="14" t="s">
        <v>166</v>
      </c>
      <c r="I330" s="14" t="s">
        <v>132</v>
      </c>
      <c r="J330" s="14" t="s">
        <v>134</v>
      </c>
      <c r="K330" s="15" t="n">
        <v>786.744</v>
      </c>
      <c r="L330" s="14" t="n">
        <v>4</v>
      </c>
      <c r="M330" s="16" t="n">
        <v>0.3</v>
      </c>
      <c r="N330" s="15" t="n">
        <v>-258.5016</v>
      </c>
      <c r="O330" s="17" t="str">
        <f aca="false">UPPER(LEFT(F330,3))&amp;"-"&amp;G330</f>
        <v>PEN-19143</v>
      </c>
      <c r="P330" s="17" t="str">
        <f aca="false">PROPER(TRIM(E330))</f>
        <v>Philadelphia</v>
      </c>
      <c r="Q330" s="17" t="str">
        <f aca="false">IFERROR(VLOOKUP(F330,Lookups!$A$2:$B$50,2,FALSE()),"Not found")</f>
        <v>East</v>
      </c>
      <c r="R330" s="17" t="str">
        <f aca="false">IF(Q330=H330,"Match","Mismatch")</f>
        <v>Match</v>
      </c>
      <c r="S330" s="17" t="str">
        <f aca="false">IFERROR(INDEX(SubCatCat,MATCH(J330,SubCatName,0)),"Not found")</f>
        <v>Furniture</v>
      </c>
      <c r="T330" s="18" t="n">
        <f aca="false">IF(K330=0,0,N330/K330)</f>
        <v>-0.328571428571429</v>
      </c>
      <c r="U330" s="17" t="str">
        <f aca="false">IF(N330&lt;0,"Loss",IF(T330&gt;=0.2,"High margin","Normal"))</f>
        <v>Loss</v>
      </c>
      <c r="V330" s="17" t="str">
        <f aca="false">IF(M330=0,"No discount",IF(M330&lt;=0.2,"Low",IF(M330&lt;=0.4,"Medium","High")))</f>
        <v>Medium</v>
      </c>
      <c r="W330" s="17" t="str">
        <f aca="false">IF(OR(B330="Same Day",B330="First Class"),"Fast","Standard")</f>
        <v>Fast</v>
      </c>
      <c r="X330" s="19" t="n">
        <f aca="false">ROUND(K330/L330,2)</f>
        <v>196.69</v>
      </c>
    </row>
    <row r="331" customFormat="false" ht="15" hidden="false" customHeight="false" outlineLevel="0" collapsed="false">
      <c r="A331" s="14" t="n">
        <v>330</v>
      </c>
      <c r="B331" s="14" t="s">
        <v>171</v>
      </c>
      <c r="C331" s="14" t="s">
        <v>7</v>
      </c>
      <c r="D331" s="14" t="s">
        <v>128</v>
      </c>
      <c r="E331" s="14" t="s">
        <v>164</v>
      </c>
      <c r="F331" s="14" t="s">
        <v>165</v>
      </c>
      <c r="G331" s="14" t="n">
        <v>19143</v>
      </c>
      <c r="H331" s="14" t="s">
        <v>166</v>
      </c>
      <c r="I331" s="14" t="s">
        <v>137</v>
      </c>
      <c r="J331" s="14" t="s">
        <v>138</v>
      </c>
      <c r="K331" s="15" t="n">
        <v>100.24</v>
      </c>
      <c r="L331" s="14" t="n">
        <v>10</v>
      </c>
      <c r="M331" s="16" t="n">
        <v>0.2</v>
      </c>
      <c r="N331" s="15" t="n">
        <v>33.831</v>
      </c>
      <c r="O331" s="17" t="str">
        <f aca="false">UPPER(LEFT(F331,3))&amp;"-"&amp;G331</f>
        <v>PEN-19143</v>
      </c>
      <c r="P331" s="17" t="str">
        <f aca="false">PROPER(TRIM(E331))</f>
        <v>Philadelphia</v>
      </c>
      <c r="Q331" s="17" t="str">
        <f aca="false">IFERROR(VLOOKUP(F331,Lookups!$A$2:$B$50,2,FALSE()),"Not found")</f>
        <v>East</v>
      </c>
      <c r="R331" s="17" t="str">
        <f aca="false">IF(Q331=H331,"Match","Mismatch")</f>
        <v>Match</v>
      </c>
      <c r="S331" s="17" t="str">
        <f aca="false">IFERROR(INDEX(SubCatCat,MATCH(J331,SubCatName,0)),"Not found")</f>
        <v>Office Supplies</v>
      </c>
      <c r="T331" s="18" t="n">
        <f aca="false">IF(K331=0,0,N331/K331)</f>
        <v>0.3375</v>
      </c>
      <c r="U331" s="17" t="str">
        <f aca="false">IF(N331&lt;0,"Loss",IF(T331&gt;=0.2,"High margin","Normal"))</f>
        <v>High margin</v>
      </c>
      <c r="V331" s="17" t="str">
        <f aca="false">IF(M331=0,"No discount",IF(M331&lt;=0.2,"Low",IF(M331&lt;=0.4,"Medium","High")))</f>
        <v>Low</v>
      </c>
      <c r="W331" s="17" t="str">
        <f aca="false">IF(OR(B331="Same Day",B331="First Class"),"Fast","Standard")</f>
        <v>Fast</v>
      </c>
      <c r="X331" s="19" t="n">
        <f aca="false">ROUND(K331/L331,2)</f>
        <v>10.02</v>
      </c>
    </row>
    <row r="332" customFormat="false" ht="15" hidden="false" customHeight="false" outlineLevel="0" collapsed="false">
      <c r="A332" s="14" t="n">
        <v>331</v>
      </c>
      <c r="B332" s="14" t="s">
        <v>171</v>
      </c>
      <c r="C332" s="14" t="s">
        <v>7</v>
      </c>
      <c r="D332" s="14" t="s">
        <v>128</v>
      </c>
      <c r="E332" s="14" t="s">
        <v>164</v>
      </c>
      <c r="F332" s="14" t="s">
        <v>165</v>
      </c>
      <c r="G332" s="14" t="n">
        <v>19143</v>
      </c>
      <c r="H332" s="14" t="s">
        <v>166</v>
      </c>
      <c r="I332" s="14" t="s">
        <v>137</v>
      </c>
      <c r="J332" s="14" t="s">
        <v>146</v>
      </c>
      <c r="K332" s="15" t="n">
        <v>37.764</v>
      </c>
      <c r="L332" s="14" t="n">
        <v>6</v>
      </c>
      <c r="M332" s="16" t="n">
        <v>0.7</v>
      </c>
      <c r="N332" s="15" t="n">
        <v>-27.6936</v>
      </c>
      <c r="O332" s="17" t="str">
        <f aca="false">UPPER(LEFT(F332,3))&amp;"-"&amp;G332</f>
        <v>PEN-19143</v>
      </c>
      <c r="P332" s="17" t="str">
        <f aca="false">PROPER(TRIM(E332))</f>
        <v>Philadelphia</v>
      </c>
      <c r="Q332" s="17" t="str">
        <f aca="false">IFERROR(VLOOKUP(F332,Lookups!$A$2:$B$50,2,FALSE()),"Not found")</f>
        <v>East</v>
      </c>
      <c r="R332" s="17" t="str">
        <f aca="false">IF(Q332=H332,"Match","Mismatch")</f>
        <v>Match</v>
      </c>
      <c r="S332" s="17" t="str">
        <f aca="false">IFERROR(INDEX(SubCatCat,MATCH(J332,SubCatName,0)),"Not found")</f>
        <v>Office Supplies</v>
      </c>
      <c r="T332" s="18" t="n">
        <f aca="false">IF(K332=0,0,N332/K332)</f>
        <v>-0.733333333333333</v>
      </c>
      <c r="U332" s="17" t="str">
        <f aca="false">IF(N332&lt;0,"Loss",IF(T332&gt;=0.2,"High margin","Normal"))</f>
        <v>Loss</v>
      </c>
      <c r="V332" s="17" t="str">
        <f aca="false">IF(M332=0,"No discount",IF(M332&lt;=0.2,"Low",IF(M332&lt;=0.4,"Medium","High")))</f>
        <v>High</v>
      </c>
      <c r="W332" s="17" t="str">
        <f aca="false">IF(OR(B332="Same Day",B332="First Class"),"Fast","Standard")</f>
        <v>Fast</v>
      </c>
      <c r="X332" s="19" t="n">
        <f aca="false">ROUND(K332/L332,2)</f>
        <v>6.29</v>
      </c>
    </row>
    <row r="333" customFormat="false" ht="15" hidden="false" customHeight="false" outlineLevel="0" collapsed="false">
      <c r="A333" s="14" t="n">
        <v>332</v>
      </c>
      <c r="B333" s="14" t="s">
        <v>127</v>
      </c>
      <c r="C333" s="14" t="s">
        <v>7</v>
      </c>
      <c r="D333" s="14" t="s">
        <v>128</v>
      </c>
      <c r="E333" s="14" t="s">
        <v>164</v>
      </c>
      <c r="F333" s="14" t="s">
        <v>165</v>
      </c>
      <c r="G333" s="14" t="n">
        <v>19134</v>
      </c>
      <c r="H333" s="14" t="s">
        <v>166</v>
      </c>
      <c r="I333" s="14" t="s">
        <v>5</v>
      </c>
      <c r="J333" s="14" t="s">
        <v>11</v>
      </c>
      <c r="K333" s="15" t="n">
        <v>82.8</v>
      </c>
      <c r="L333" s="14" t="n">
        <v>2</v>
      </c>
      <c r="M333" s="16" t="n">
        <v>0.4</v>
      </c>
      <c r="N333" s="15" t="n">
        <v>-20.7</v>
      </c>
      <c r="O333" s="17" t="str">
        <f aca="false">UPPER(LEFT(F333,3))&amp;"-"&amp;G333</f>
        <v>PEN-19134</v>
      </c>
      <c r="P333" s="17" t="str">
        <f aca="false">PROPER(TRIM(E333))</f>
        <v>Philadelphia</v>
      </c>
      <c r="Q333" s="17" t="str">
        <f aca="false">IFERROR(VLOOKUP(F333,Lookups!$A$2:$B$50,2,FALSE()),"Not found")</f>
        <v>East</v>
      </c>
      <c r="R333" s="17" t="str">
        <f aca="false">IF(Q333=H333,"Match","Mismatch")</f>
        <v>Match</v>
      </c>
      <c r="S333" s="17" t="str">
        <f aca="false">IFERROR(INDEX(SubCatCat,MATCH(J333,SubCatName,0)),"Not found")</f>
        <v>Technology</v>
      </c>
      <c r="T333" s="18" t="n">
        <f aca="false">IF(K333=0,0,N333/K333)</f>
        <v>-0.25</v>
      </c>
      <c r="U333" s="17" t="str">
        <f aca="false">IF(N333&lt;0,"Loss",IF(T333&gt;=0.2,"High margin","Normal"))</f>
        <v>Loss</v>
      </c>
      <c r="V333" s="17" t="str">
        <f aca="false">IF(M333=0,"No discount",IF(M333&lt;=0.2,"Low",IF(M333&lt;=0.4,"Medium","High")))</f>
        <v>Medium</v>
      </c>
      <c r="W333" s="17" t="str">
        <f aca="false">IF(OR(B333="Same Day",B333="First Class"),"Fast","Standard")</f>
        <v>Standard</v>
      </c>
      <c r="X333" s="19" t="n">
        <f aca="false">ROUND(K333/L333,2)</f>
        <v>41.4</v>
      </c>
    </row>
    <row r="334" customFormat="false" ht="15" hidden="false" customHeight="false" outlineLevel="0" collapsed="false">
      <c r="A334" s="14" t="n">
        <v>333</v>
      </c>
      <c r="B334" s="14" t="s">
        <v>127</v>
      </c>
      <c r="C334" s="14" t="s">
        <v>7</v>
      </c>
      <c r="D334" s="14" t="s">
        <v>128</v>
      </c>
      <c r="E334" s="14" t="s">
        <v>164</v>
      </c>
      <c r="F334" s="14" t="s">
        <v>165</v>
      </c>
      <c r="G334" s="14" t="n">
        <v>19134</v>
      </c>
      <c r="H334" s="14" t="s">
        <v>166</v>
      </c>
      <c r="I334" s="14" t="s">
        <v>137</v>
      </c>
      <c r="J334" s="14" t="s">
        <v>146</v>
      </c>
      <c r="K334" s="15" t="n">
        <v>20.724</v>
      </c>
      <c r="L334" s="14" t="n">
        <v>2</v>
      </c>
      <c r="M334" s="16" t="n">
        <v>0.7</v>
      </c>
      <c r="N334" s="15" t="n">
        <v>-13.816</v>
      </c>
      <c r="O334" s="17" t="str">
        <f aca="false">UPPER(LEFT(F334,3))&amp;"-"&amp;G334</f>
        <v>PEN-19134</v>
      </c>
      <c r="P334" s="17" t="str">
        <f aca="false">PROPER(TRIM(E334))</f>
        <v>Philadelphia</v>
      </c>
      <c r="Q334" s="17" t="str">
        <f aca="false">IFERROR(VLOOKUP(F334,Lookups!$A$2:$B$50,2,FALSE()),"Not found")</f>
        <v>East</v>
      </c>
      <c r="R334" s="17" t="str">
        <f aca="false">IF(Q334=H334,"Match","Mismatch")</f>
        <v>Match</v>
      </c>
      <c r="S334" s="17" t="str">
        <f aca="false">IFERROR(INDEX(SubCatCat,MATCH(J334,SubCatName,0)),"Not found")</f>
        <v>Office Supplies</v>
      </c>
      <c r="T334" s="18" t="n">
        <f aca="false">IF(K334=0,0,N334/K334)</f>
        <v>-0.666666666666667</v>
      </c>
      <c r="U334" s="17" t="str">
        <f aca="false">IF(N334&lt;0,"Loss",IF(T334&gt;=0.2,"High margin","Normal"))</f>
        <v>Loss</v>
      </c>
      <c r="V334" s="17" t="str">
        <f aca="false">IF(M334=0,"No discount",IF(M334&lt;=0.2,"Low",IF(M334&lt;=0.4,"Medium","High")))</f>
        <v>High</v>
      </c>
      <c r="W334" s="17" t="str">
        <f aca="false">IF(OR(B334="Same Day",B334="First Class"),"Fast","Standard")</f>
        <v>Standard</v>
      </c>
      <c r="X334" s="19" t="n">
        <f aca="false">ROUND(K334/L334,2)</f>
        <v>10.36</v>
      </c>
    </row>
    <row r="335" customFormat="false" ht="15" hidden="false" customHeight="false" outlineLevel="0" collapsed="false">
      <c r="A335" s="14" t="n">
        <v>334</v>
      </c>
      <c r="B335" s="14" t="s">
        <v>127</v>
      </c>
      <c r="C335" s="14" t="s">
        <v>7</v>
      </c>
      <c r="D335" s="14" t="s">
        <v>128</v>
      </c>
      <c r="E335" s="14" t="s">
        <v>164</v>
      </c>
      <c r="F335" s="14" t="s">
        <v>165</v>
      </c>
      <c r="G335" s="14" t="n">
        <v>19134</v>
      </c>
      <c r="H335" s="14" t="s">
        <v>166</v>
      </c>
      <c r="I335" s="14" t="s">
        <v>137</v>
      </c>
      <c r="J335" s="14" t="s">
        <v>146</v>
      </c>
      <c r="K335" s="15" t="n">
        <v>4.896</v>
      </c>
      <c r="L335" s="14" t="n">
        <v>3</v>
      </c>
      <c r="M335" s="16" t="n">
        <v>0.7</v>
      </c>
      <c r="N335" s="15" t="n">
        <v>-3.4272</v>
      </c>
      <c r="O335" s="17" t="str">
        <f aca="false">UPPER(LEFT(F335,3))&amp;"-"&amp;G335</f>
        <v>PEN-19134</v>
      </c>
      <c r="P335" s="17" t="str">
        <f aca="false">PROPER(TRIM(E335))</f>
        <v>Philadelphia</v>
      </c>
      <c r="Q335" s="17" t="str">
        <f aca="false">IFERROR(VLOOKUP(F335,Lookups!$A$2:$B$50,2,FALSE()),"Not found")</f>
        <v>East</v>
      </c>
      <c r="R335" s="17" t="str">
        <f aca="false">IF(Q335=H335,"Match","Mismatch")</f>
        <v>Match</v>
      </c>
      <c r="S335" s="17" t="str">
        <f aca="false">IFERROR(INDEX(SubCatCat,MATCH(J335,SubCatName,0)),"Not found")</f>
        <v>Office Supplies</v>
      </c>
      <c r="T335" s="18" t="n">
        <f aca="false">IF(K335=0,0,N335/K335)</f>
        <v>-0.7</v>
      </c>
      <c r="U335" s="17" t="str">
        <f aca="false">IF(N335&lt;0,"Loss",IF(T335&gt;=0.2,"High margin","Normal"))</f>
        <v>Loss</v>
      </c>
      <c r="V335" s="17" t="str">
        <f aca="false">IF(M335=0,"No discount",IF(M335&lt;=0.2,"Low",IF(M335&lt;=0.4,"Medium","High")))</f>
        <v>High</v>
      </c>
      <c r="W335" s="17" t="str">
        <f aca="false">IF(OR(B335="Same Day",B335="First Class"),"Fast","Standard")</f>
        <v>Standard</v>
      </c>
      <c r="X335" s="19" t="n">
        <f aca="false">ROUND(K335/L335,2)</f>
        <v>1.63</v>
      </c>
    </row>
    <row r="336" customFormat="false" ht="15" hidden="false" customHeight="false" outlineLevel="0" collapsed="false">
      <c r="A336" s="14" t="n">
        <v>335</v>
      </c>
      <c r="B336" s="14" t="s">
        <v>127</v>
      </c>
      <c r="C336" s="14" t="s">
        <v>7</v>
      </c>
      <c r="D336" s="14" t="s">
        <v>128</v>
      </c>
      <c r="E336" s="14" t="s">
        <v>136</v>
      </c>
      <c r="F336" s="14" t="s">
        <v>9</v>
      </c>
      <c r="G336" s="14" t="n">
        <v>90045</v>
      </c>
      <c r="H336" s="14" t="s">
        <v>3</v>
      </c>
      <c r="I336" s="14" t="s">
        <v>137</v>
      </c>
      <c r="J336" s="14" t="s">
        <v>146</v>
      </c>
      <c r="K336" s="15" t="n">
        <v>4.752</v>
      </c>
      <c r="L336" s="14" t="n">
        <v>1</v>
      </c>
      <c r="M336" s="16" t="n">
        <v>0.2</v>
      </c>
      <c r="N336" s="15" t="n">
        <v>1.6038</v>
      </c>
      <c r="O336" s="17" t="str">
        <f aca="false">UPPER(LEFT(F336,3))&amp;"-"&amp;G336</f>
        <v>CAL-90045</v>
      </c>
      <c r="P336" s="17" t="str">
        <f aca="false">PROPER(TRIM(E336))</f>
        <v>Los Angeles</v>
      </c>
      <c r="Q336" s="17" t="str">
        <f aca="false">IFERROR(VLOOKUP(F336,Lookups!$A$2:$B$50,2,FALSE()),"Not found")</f>
        <v>West</v>
      </c>
      <c r="R336" s="17" t="str">
        <f aca="false">IF(Q336=H336,"Match","Mismatch")</f>
        <v>Match</v>
      </c>
      <c r="S336" s="17" t="str">
        <f aca="false">IFERROR(INDEX(SubCatCat,MATCH(J336,SubCatName,0)),"Not found")</f>
        <v>Office Supplies</v>
      </c>
      <c r="T336" s="18" t="n">
        <f aca="false">IF(K336=0,0,N336/K336)</f>
        <v>0.3375</v>
      </c>
      <c r="U336" s="17" t="str">
        <f aca="false">IF(N336&lt;0,"Loss",IF(T336&gt;=0.2,"High margin","Normal"))</f>
        <v>High margin</v>
      </c>
      <c r="V336" s="17" t="str">
        <f aca="false">IF(M336=0,"No discount",IF(M336&lt;=0.2,"Low",IF(M336&lt;=0.4,"Medium","High")))</f>
        <v>Low</v>
      </c>
      <c r="W336" s="17" t="str">
        <f aca="false">IF(OR(B336="Same Day",B336="First Class"),"Fast","Standard")</f>
        <v>Standard</v>
      </c>
      <c r="X336" s="19" t="n">
        <f aca="false">ROUND(K336/L336,2)</f>
        <v>4.75</v>
      </c>
    </row>
    <row r="337" customFormat="false" ht="15" hidden="false" customHeight="false" outlineLevel="0" collapsed="false">
      <c r="A337" s="14" t="n">
        <v>336</v>
      </c>
      <c r="B337" s="14" t="s">
        <v>127</v>
      </c>
      <c r="C337" s="14" t="s">
        <v>7</v>
      </c>
      <c r="D337" s="14" t="s">
        <v>128</v>
      </c>
      <c r="E337" s="14" t="s">
        <v>136</v>
      </c>
      <c r="F337" s="14" t="s">
        <v>9</v>
      </c>
      <c r="G337" s="14" t="n">
        <v>90045</v>
      </c>
      <c r="H337" s="14" t="s">
        <v>3</v>
      </c>
      <c r="I337" s="14" t="s">
        <v>5</v>
      </c>
      <c r="J337" s="14" t="s">
        <v>271</v>
      </c>
      <c r="K337" s="15" t="n">
        <v>959.984</v>
      </c>
      <c r="L337" s="14" t="n">
        <v>2</v>
      </c>
      <c r="M337" s="16" t="n">
        <v>0.2</v>
      </c>
      <c r="N337" s="15" t="n">
        <v>335.9944</v>
      </c>
      <c r="O337" s="17" t="str">
        <f aca="false">UPPER(LEFT(F337,3))&amp;"-"&amp;G337</f>
        <v>CAL-90045</v>
      </c>
      <c r="P337" s="17" t="str">
        <f aca="false">PROPER(TRIM(E337))</f>
        <v>Los Angeles</v>
      </c>
      <c r="Q337" s="17" t="str">
        <f aca="false">IFERROR(VLOOKUP(F337,Lookups!$A$2:$B$50,2,FALSE()),"Not found")</f>
        <v>West</v>
      </c>
      <c r="R337" s="17" t="str">
        <f aca="false">IF(Q337=H337,"Match","Mismatch")</f>
        <v>Match</v>
      </c>
      <c r="S337" s="17" t="str">
        <f aca="false">IFERROR(INDEX(SubCatCat,MATCH(J337,SubCatName,0)),"Not found")</f>
        <v>Technology</v>
      </c>
      <c r="T337" s="18" t="n">
        <f aca="false">IF(K337=0,0,N337/K337)</f>
        <v>0.35</v>
      </c>
      <c r="U337" s="17" t="str">
        <f aca="false">IF(N337&lt;0,"Loss",IF(T337&gt;=0.2,"High margin","Normal"))</f>
        <v>High margin</v>
      </c>
      <c r="V337" s="17" t="str">
        <f aca="false">IF(M337=0,"No discount",IF(M337&lt;=0.2,"Low",IF(M337&lt;=0.4,"Medium","High")))</f>
        <v>Low</v>
      </c>
      <c r="W337" s="17" t="str">
        <f aca="false">IF(OR(B337="Same Day",B337="First Class"),"Fast","Standard")</f>
        <v>Standard</v>
      </c>
      <c r="X337" s="19" t="n">
        <f aca="false">ROUND(K337/L337,2)</f>
        <v>479.99</v>
      </c>
    </row>
    <row r="338" customFormat="false" ht="15" hidden="false" customHeight="false" outlineLevel="0" collapsed="false">
      <c r="A338" s="14" t="n">
        <v>337</v>
      </c>
      <c r="B338" s="14" t="s">
        <v>127</v>
      </c>
      <c r="C338" s="14" t="s">
        <v>7</v>
      </c>
      <c r="D338" s="14" t="s">
        <v>128</v>
      </c>
      <c r="E338" s="14" t="s">
        <v>136</v>
      </c>
      <c r="F338" s="14" t="s">
        <v>9</v>
      </c>
      <c r="G338" s="14" t="n">
        <v>90045</v>
      </c>
      <c r="H338" s="14" t="s">
        <v>3</v>
      </c>
      <c r="I338" s="14" t="s">
        <v>137</v>
      </c>
      <c r="J338" s="14" t="s">
        <v>146</v>
      </c>
      <c r="K338" s="15" t="n">
        <v>14.368</v>
      </c>
      <c r="L338" s="14" t="n">
        <v>4</v>
      </c>
      <c r="M338" s="16" t="n">
        <v>0.2</v>
      </c>
      <c r="N338" s="15" t="n">
        <v>4.49</v>
      </c>
      <c r="O338" s="17" t="str">
        <f aca="false">UPPER(LEFT(F338,3))&amp;"-"&amp;G338</f>
        <v>CAL-90045</v>
      </c>
      <c r="P338" s="17" t="str">
        <f aca="false">PROPER(TRIM(E338))</f>
        <v>Los Angeles</v>
      </c>
      <c r="Q338" s="17" t="str">
        <f aca="false">IFERROR(VLOOKUP(F338,Lookups!$A$2:$B$50,2,FALSE()),"Not found")</f>
        <v>West</v>
      </c>
      <c r="R338" s="17" t="str">
        <f aca="false">IF(Q338=H338,"Match","Mismatch")</f>
        <v>Match</v>
      </c>
      <c r="S338" s="17" t="str">
        <f aca="false">IFERROR(INDEX(SubCatCat,MATCH(J338,SubCatName,0)),"Not found")</f>
        <v>Office Supplies</v>
      </c>
      <c r="T338" s="18" t="n">
        <f aca="false">IF(K338=0,0,N338/K338)</f>
        <v>0.3125</v>
      </c>
      <c r="U338" s="17" t="str">
        <f aca="false">IF(N338&lt;0,"Loss",IF(T338&gt;=0.2,"High margin","Normal"))</f>
        <v>High margin</v>
      </c>
      <c r="V338" s="17" t="str">
        <f aca="false">IF(M338=0,"No discount",IF(M338&lt;=0.2,"Low",IF(M338&lt;=0.4,"Medium","High")))</f>
        <v>Low</v>
      </c>
      <c r="W338" s="17" t="str">
        <f aca="false">IF(OR(B338="Same Day",B338="First Class"),"Fast","Standard")</f>
        <v>Standard</v>
      </c>
      <c r="X338" s="19" t="n">
        <f aca="false">ROUND(K338/L338,2)</f>
        <v>3.59</v>
      </c>
    </row>
    <row r="339" customFormat="false" ht="15" hidden="false" customHeight="false" outlineLevel="0" collapsed="false">
      <c r="A339" s="14" t="n">
        <v>338</v>
      </c>
      <c r="B339" s="14" t="s">
        <v>139</v>
      </c>
      <c r="C339" s="14" t="s">
        <v>135</v>
      </c>
      <c r="D339" s="14" t="s">
        <v>128</v>
      </c>
      <c r="E339" s="14" t="s">
        <v>161</v>
      </c>
      <c r="F339" s="14" t="s">
        <v>9</v>
      </c>
      <c r="G339" s="14" t="n">
        <v>94122</v>
      </c>
      <c r="H339" s="14" t="s">
        <v>3</v>
      </c>
      <c r="I339" s="14" t="s">
        <v>137</v>
      </c>
      <c r="J339" s="14" t="s">
        <v>146</v>
      </c>
      <c r="K339" s="15" t="n">
        <v>7.712</v>
      </c>
      <c r="L339" s="14" t="n">
        <v>2</v>
      </c>
      <c r="M339" s="16" t="n">
        <v>0.2</v>
      </c>
      <c r="N339" s="15" t="n">
        <v>2.7956</v>
      </c>
      <c r="O339" s="17" t="str">
        <f aca="false">UPPER(LEFT(F339,3))&amp;"-"&amp;G339</f>
        <v>CAL-94122</v>
      </c>
      <c r="P339" s="17" t="str">
        <f aca="false">PROPER(TRIM(E339))</f>
        <v>San Francisco</v>
      </c>
      <c r="Q339" s="17" t="str">
        <f aca="false">IFERROR(VLOOKUP(F339,Lookups!$A$2:$B$50,2,FALSE()),"Not found")</f>
        <v>West</v>
      </c>
      <c r="R339" s="17" t="str">
        <f aca="false">IF(Q339=H339,"Match","Mismatch")</f>
        <v>Match</v>
      </c>
      <c r="S339" s="17" t="str">
        <f aca="false">IFERROR(INDEX(SubCatCat,MATCH(J339,SubCatName,0)),"Not found")</f>
        <v>Office Supplies</v>
      </c>
      <c r="T339" s="18" t="n">
        <f aca="false">IF(K339=0,0,N339/K339)</f>
        <v>0.3625</v>
      </c>
      <c r="U339" s="17" t="str">
        <f aca="false">IF(N339&lt;0,"Loss",IF(T339&gt;=0.2,"High margin","Normal"))</f>
        <v>High margin</v>
      </c>
      <c r="V339" s="17" t="str">
        <f aca="false">IF(M339=0,"No discount",IF(M339&lt;=0.2,"Low",IF(M339&lt;=0.4,"Medium","High")))</f>
        <v>Low</v>
      </c>
      <c r="W339" s="17" t="str">
        <f aca="false">IF(OR(B339="Same Day",B339="First Class"),"Fast","Standard")</f>
        <v>Standard</v>
      </c>
      <c r="X339" s="19" t="n">
        <f aca="false">ROUND(K339/L339,2)</f>
        <v>3.86</v>
      </c>
    </row>
    <row r="340" customFormat="false" ht="15" hidden="false" customHeight="false" outlineLevel="0" collapsed="false">
      <c r="A340" s="14" t="n">
        <v>339</v>
      </c>
      <c r="B340" s="14" t="s">
        <v>139</v>
      </c>
      <c r="C340" s="14" t="s">
        <v>135</v>
      </c>
      <c r="D340" s="14" t="s">
        <v>128</v>
      </c>
      <c r="E340" s="14" t="s">
        <v>161</v>
      </c>
      <c r="F340" s="14" t="s">
        <v>9</v>
      </c>
      <c r="G340" s="14" t="n">
        <v>94122</v>
      </c>
      <c r="H340" s="14" t="s">
        <v>3</v>
      </c>
      <c r="I340" s="14" t="s">
        <v>132</v>
      </c>
      <c r="J340" s="14" t="s">
        <v>142</v>
      </c>
      <c r="K340" s="15" t="n">
        <v>698.352</v>
      </c>
      <c r="L340" s="14" t="n">
        <v>3</v>
      </c>
      <c r="M340" s="16" t="n">
        <v>0.2</v>
      </c>
      <c r="N340" s="15" t="n">
        <v>-17.4588</v>
      </c>
      <c r="O340" s="17" t="str">
        <f aca="false">UPPER(LEFT(F340,3))&amp;"-"&amp;G340</f>
        <v>CAL-94122</v>
      </c>
      <c r="P340" s="17" t="str">
        <f aca="false">PROPER(TRIM(E340))</f>
        <v>San Francisco</v>
      </c>
      <c r="Q340" s="17" t="str">
        <f aca="false">IFERROR(VLOOKUP(F340,Lookups!$A$2:$B$50,2,FALSE()),"Not found")</f>
        <v>West</v>
      </c>
      <c r="R340" s="17" t="str">
        <f aca="false">IF(Q340=H340,"Match","Mismatch")</f>
        <v>Match</v>
      </c>
      <c r="S340" s="17" t="str">
        <f aca="false">IFERROR(INDEX(SubCatCat,MATCH(J340,SubCatName,0)),"Not found")</f>
        <v>Furniture</v>
      </c>
      <c r="T340" s="18" t="n">
        <f aca="false">IF(K340=0,0,N340/K340)</f>
        <v>-0.025</v>
      </c>
      <c r="U340" s="17" t="str">
        <f aca="false">IF(N340&lt;0,"Loss",IF(T340&gt;=0.2,"High margin","Normal"))</f>
        <v>Loss</v>
      </c>
      <c r="V340" s="17" t="str">
        <f aca="false">IF(M340=0,"No discount",IF(M340&lt;=0.2,"Low",IF(M340&lt;=0.4,"Medium","High")))</f>
        <v>Low</v>
      </c>
      <c r="W340" s="17" t="str">
        <f aca="false">IF(OR(B340="Same Day",B340="First Class"),"Fast","Standard")</f>
        <v>Standard</v>
      </c>
      <c r="X340" s="19" t="n">
        <f aca="false">ROUND(K340/L340,2)</f>
        <v>232.78</v>
      </c>
    </row>
    <row r="341" customFormat="false" ht="15" hidden="false" customHeight="false" outlineLevel="0" collapsed="false">
      <c r="A341" s="14" t="n">
        <v>340</v>
      </c>
      <c r="B341" s="14" t="s">
        <v>127</v>
      </c>
      <c r="C341" s="14" t="s">
        <v>7</v>
      </c>
      <c r="D341" s="14" t="s">
        <v>128</v>
      </c>
      <c r="E341" s="14" t="s">
        <v>272</v>
      </c>
      <c r="F341" s="14" t="s">
        <v>160</v>
      </c>
      <c r="G341" s="14" t="n">
        <v>84041</v>
      </c>
      <c r="H341" s="14" t="s">
        <v>3</v>
      </c>
      <c r="I341" s="14" t="s">
        <v>137</v>
      </c>
      <c r="J341" s="14" t="s">
        <v>186</v>
      </c>
      <c r="K341" s="15" t="n">
        <v>4.96</v>
      </c>
      <c r="L341" s="14" t="n">
        <v>4</v>
      </c>
      <c r="M341" s="16" t="n">
        <v>0</v>
      </c>
      <c r="N341" s="15" t="n">
        <v>2.3312</v>
      </c>
      <c r="O341" s="17" t="str">
        <f aca="false">UPPER(LEFT(F341,3))&amp;"-"&amp;G341</f>
        <v>UTA-84041</v>
      </c>
      <c r="P341" s="17" t="str">
        <f aca="false">PROPER(TRIM(E341))</f>
        <v>Layton</v>
      </c>
      <c r="Q341" s="17" t="str">
        <f aca="false">IFERROR(VLOOKUP(F341,Lookups!$A$2:$B$50,2,FALSE()),"Not found")</f>
        <v>West</v>
      </c>
      <c r="R341" s="17" t="str">
        <f aca="false">IF(Q341=H341,"Match","Mismatch")</f>
        <v>Match</v>
      </c>
      <c r="S341" s="17" t="str">
        <f aca="false">IFERROR(INDEX(SubCatCat,MATCH(J341,SubCatName,0)),"Not found")</f>
        <v>Office Supplies</v>
      </c>
      <c r="T341" s="18" t="n">
        <f aca="false">IF(K341=0,0,N341/K341)</f>
        <v>0.47</v>
      </c>
      <c r="U341" s="17" t="str">
        <f aca="false">IF(N341&lt;0,"Loss",IF(T341&gt;=0.2,"High margin","Normal"))</f>
        <v>High margin</v>
      </c>
      <c r="V341" s="17" t="str">
        <f aca="false">IF(M341=0,"No discount",IF(M341&lt;=0.2,"Low",IF(M341&lt;=0.4,"Medium","High")))</f>
        <v>No discount</v>
      </c>
      <c r="W341" s="17" t="str">
        <f aca="false">IF(OR(B341="Same Day",B341="First Class"),"Fast","Standard")</f>
        <v>Standard</v>
      </c>
      <c r="X341" s="19" t="n">
        <f aca="false">ROUND(K341/L341,2)</f>
        <v>1.24</v>
      </c>
    </row>
    <row r="342" customFormat="false" ht="15" hidden="false" customHeight="false" outlineLevel="0" collapsed="false">
      <c r="A342" s="14" t="n">
        <v>341</v>
      </c>
      <c r="B342" s="14" t="s">
        <v>127</v>
      </c>
      <c r="C342" s="14" t="s">
        <v>135</v>
      </c>
      <c r="D342" s="14" t="s">
        <v>128</v>
      </c>
      <c r="E342" s="14" t="s">
        <v>164</v>
      </c>
      <c r="F342" s="14" t="s">
        <v>165</v>
      </c>
      <c r="G342" s="14" t="n">
        <v>19140</v>
      </c>
      <c r="H342" s="14" t="s">
        <v>166</v>
      </c>
      <c r="I342" s="14" t="s">
        <v>137</v>
      </c>
      <c r="J342" s="14" t="s">
        <v>145</v>
      </c>
      <c r="K342" s="15" t="n">
        <v>17.856</v>
      </c>
      <c r="L342" s="14" t="n">
        <v>4</v>
      </c>
      <c r="M342" s="16" t="n">
        <v>0.2</v>
      </c>
      <c r="N342" s="15" t="n">
        <v>1.116</v>
      </c>
      <c r="O342" s="17" t="str">
        <f aca="false">UPPER(LEFT(F342,3))&amp;"-"&amp;G342</f>
        <v>PEN-19140</v>
      </c>
      <c r="P342" s="17" t="str">
        <f aca="false">PROPER(TRIM(E342))</f>
        <v>Philadelphia</v>
      </c>
      <c r="Q342" s="17" t="str">
        <f aca="false">IFERROR(VLOOKUP(F342,Lookups!$A$2:$B$50,2,FALSE()),"Not found")</f>
        <v>East</v>
      </c>
      <c r="R342" s="17" t="str">
        <f aca="false">IF(Q342=H342,"Match","Mismatch")</f>
        <v>Match</v>
      </c>
      <c r="S342" s="17" t="str">
        <f aca="false">IFERROR(INDEX(SubCatCat,MATCH(J342,SubCatName,0)),"Not found")</f>
        <v>Office Supplies</v>
      </c>
      <c r="T342" s="18" t="n">
        <f aca="false">IF(K342=0,0,N342/K342)</f>
        <v>0.0625</v>
      </c>
      <c r="U342" s="17" t="str">
        <f aca="false">IF(N342&lt;0,"Loss",IF(T342&gt;=0.2,"High margin","Normal"))</f>
        <v>Normal</v>
      </c>
      <c r="V342" s="17" t="str">
        <f aca="false">IF(M342=0,"No discount",IF(M342&lt;=0.2,"Low",IF(M342&lt;=0.4,"Medium","High")))</f>
        <v>Low</v>
      </c>
      <c r="W342" s="17" t="str">
        <f aca="false">IF(OR(B342="Same Day",B342="First Class"),"Fast","Standard")</f>
        <v>Standard</v>
      </c>
      <c r="X342" s="19" t="n">
        <f aca="false">ROUND(K342/L342,2)</f>
        <v>4.46</v>
      </c>
    </row>
    <row r="343" customFormat="false" ht="15" hidden="false" customHeight="false" outlineLevel="0" collapsed="false">
      <c r="A343" s="14" t="n">
        <v>342</v>
      </c>
      <c r="B343" s="14" t="s">
        <v>127</v>
      </c>
      <c r="C343" s="14" t="s">
        <v>135</v>
      </c>
      <c r="D343" s="14" t="s">
        <v>128</v>
      </c>
      <c r="E343" s="14" t="s">
        <v>164</v>
      </c>
      <c r="F343" s="14" t="s">
        <v>165</v>
      </c>
      <c r="G343" s="14" t="n">
        <v>19140</v>
      </c>
      <c r="H343" s="14" t="s">
        <v>166</v>
      </c>
      <c r="I343" s="14" t="s">
        <v>137</v>
      </c>
      <c r="J343" s="14" t="s">
        <v>146</v>
      </c>
      <c r="K343" s="15" t="n">
        <v>509.97</v>
      </c>
      <c r="L343" s="14" t="n">
        <v>10</v>
      </c>
      <c r="M343" s="16" t="n">
        <v>0.7</v>
      </c>
      <c r="N343" s="15" t="n">
        <v>-407.976</v>
      </c>
      <c r="O343" s="17" t="str">
        <f aca="false">UPPER(LEFT(F343,3))&amp;"-"&amp;G343</f>
        <v>PEN-19140</v>
      </c>
      <c r="P343" s="17" t="str">
        <f aca="false">PROPER(TRIM(E343))</f>
        <v>Philadelphia</v>
      </c>
      <c r="Q343" s="17" t="str">
        <f aca="false">IFERROR(VLOOKUP(F343,Lookups!$A$2:$B$50,2,FALSE()),"Not found")</f>
        <v>East</v>
      </c>
      <c r="R343" s="17" t="str">
        <f aca="false">IF(Q343=H343,"Match","Mismatch")</f>
        <v>Match</v>
      </c>
      <c r="S343" s="17" t="str">
        <f aca="false">IFERROR(INDEX(SubCatCat,MATCH(J343,SubCatName,0)),"Not found")</f>
        <v>Office Supplies</v>
      </c>
      <c r="T343" s="18" t="n">
        <f aca="false">IF(K343=0,0,N343/K343)</f>
        <v>-0.8</v>
      </c>
      <c r="U343" s="17" t="str">
        <f aca="false">IF(N343&lt;0,"Loss",IF(T343&gt;=0.2,"High margin","Normal"))</f>
        <v>Loss</v>
      </c>
      <c r="V343" s="17" t="str">
        <f aca="false">IF(M343=0,"No discount",IF(M343&lt;=0.2,"Low",IF(M343&lt;=0.4,"Medium","High")))</f>
        <v>High</v>
      </c>
      <c r="W343" s="17" t="str">
        <f aca="false">IF(OR(B343="Same Day",B343="First Class"),"Fast","Standard")</f>
        <v>Standard</v>
      </c>
      <c r="X343" s="19" t="n">
        <f aca="false">ROUND(K343/L343,2)</f>
        <v>51</v>
      </c>
    </row>
    <row r="344" customFormat="false" ht="15" hidden="false" customHeight="false" outlineLevel="0" collapsed="false">
      <c r="A344" s="14" t="n">
        <v>343</v>
      </c>
      <c r="B344" s="14" t="s">
        <v>127</v>
      </c>
      <c r="C344" s="14" t="s">
        <v>135</v>
      </c>
      <c r="D344" s="14" t="s">
        <v>128</v>
      </c>
      <c r="E344" s="14" t="s">
        <v>164</v>
      </c>
      <c r="F344" s="14" t="s">
        <v>165</v>
      </c>
      <c r="G344" s="14" t="n">
        <v>19140</v>
      </c>
      <c r="H344" s="14" t="s">
        <v>166</v>
      </c>
      <c r="I344" s="14" t="s">
        <v>137</v>
      </c>
      <c r="J344" s="14" t="s">
        <v>186</v>
      </c>
      <c r="K344" s="15" t="n">
        <v>30.992</v>
      </c>
      <c r="L344" s="14" t="n">
        <v>13</v>
      </c>
      <c r="M344" s="16" t="n">
        <v>0.2</v>
      </c>
      <c r="N344" s="15" t="n">
        <v>10.0724</v>
      </c>
      <c r="O344" s="17" t="str">
        <f aca="false">UPPER(LEFT(F344,3))&amp;"-"&amp;G344</f>
        <v>PEN-19140</v>
      </c>
      <c r="P344" s="17" t="str">
        <f aca="false">PROPER(TRIM(E344))</f>
        <v>Philadelphia</v>
      </c>
      <c r="Q344" s="17" t="str">
        <f aca="false">IFERROR(VLOOKUP(F344,Lookups!$A$2:$B$50,2,FALSE()),"Not found")</f>
        <v>East</v>
      </c>
      <c r="R344" s="17" t="str">
        <f aca="false">IF(Q344=H344,"Match","Mismatch")</f>
        <v>Match</v>
      </c>
      <c r="S344" s="17" t="str">
        <f aca="false">IFERROR(INDEX(SubCatCat,MATCH(J344,SubCatName,0)),"Not found")</f>
        <v>Office Supplies</v>
      </c>
      <c r="T344" s="18" t="n">
        <f aca="false">IF(K344=0,0,N344/K344)</f>
        <v>0.325</v>
      </c>
      <c r="U344" s="17" t="str">
        <f aca="false">IF(N344&lt;0,"Loss",IF(T344&gt;=0.2,"High margin","Normal"))</f>
        <v>High margin</v>
      </c>
      <c r="V344" s="17" t="str">
        <f aca="false">IF(M344=0,"No discount",IF(M344&lt;=0.2,"Low",IF(M344&lt;=0.4,"Medium","High")))</f>
        <v>Low</v>
      </c>
      <c r="W344" s="17" t="str">
        <f aca="false">IF(OR(B344="Same Day",B344="First Class"),"Fast","Standard")</f>
        <v>Standard</v>
      </c>
      <c r="X344" s="19" t="n">
        <f aca="false">ROUND(K344/L344,2)</f>
        <v>2.38</v>
      </c>
    </row>
    <row r="345" customFormat="false" ht="15" hidden="false" customHeight="false" outlineLevel="0" collapsed="false">
      <c r="A345" s="14" t="n">
        <v>344</v>
      </c>
      <c r="B345" s="14" t="s">
        <v>127</v>
      </c>
      <c r="C345" s="14" t="s">
        <v>135</v>
      </c>
      <c r="D345" s="14" t="s">
        <v>128</v>
      </c>
      <c r="E345" s="14" t="s">
        <v>164</v>
      </c>
      <c r="F345" s="14" t="s">
        <v>165</v>
      </c>
      <c r="G345" s="14" t="n">
        <v>19140</v>
      </c>
      <c r="H345" s="14" t="s">
        <v>166</v>
      </c>
      <c r="I345" s="14" t="s">
        <v>5</v>
      </c>
      <c r="J345" s="14" t="s">
        <v>11</v>
      </c>
      <c r="K345" s="15" t="n">
        <v>71.928</v>
      </c>
      <c r="L345" s="14" t="n">
        <v>12</v>
      </c>
      <c r="M345" s="16" t="n">
        <v>0.4</v>
      </c>
      <c r="N345" s="15" t="n">
        <v>8.3916</v>
      </c>
      <c r="O345" s="17" t="str">
        <f aca="false">UPPER(LEFT(F345,3))&amp;"-"&amp;G345</f>
        <v>PEN-19140</v>
      </c>
      <c r="P345" s="17" t="str">
        <f aca="false">PROPER(TRIM(E345))</f>
        <v>Philadelphia</v>
      </c>
      <c r="Q345" s="17" t="str">
        <f aca="false">IFERROR(VLOOKUP(F345,Lookups!$A$2:$B$50,2,FALSE()),"Not found")</f>
        <v>East</v>
      </c>
      <c r="R345" s="17" t="str">
        <f aca="false">IF(Q345=H345,"Match","Mismatch")</f>
        <v>Match</v>
      </c>
      <c r="S345" s="17" t="str">
        <f aca="false">IFERROR(INDEX(SubCatCat,MATCH(J345,SubCatName,0)),"Not found")</f>
        <v>Technology</v>
      </c>
      <c r="T345" s="18" t="n">
        <f aca="false">IF(K345=0,0,N345/K345)</f>
        <v>0.116666666666667</v>
      </c>
      <c r="U345" s="17" t="str">
        <f aca="false">IF(N345&lt;0,"Loss",IF(T345&gt;=0.2,"High margin","Normal"))</f>
        <v>Normal</v>
      </c>
      <c r="V345" s="17" t="str">
        <f aca="false">IF(M345=0,"No discount",IF(M345&lt;=0.2,"Low",IF(M345&lt;=0.4,"Medium","High")))</f>
        <v>Medium</v>
      </c>
      <c r="W345" s="17" t="str">
        <f aca="false">IF(OR(B345="Same Day",B345="First Class"),"Fast","Standard")</f>
        <v>Standard</v>
      </c>
      <c r="X345" s="19" t="n">
        <f aca="false">ROUND(K345/L345,2)</f>
        <v>5.99</v>
      </c>
    </row>
    <row r="346" customFormat="false" ht="15" hidden="false" customHeight="false" outlineLevel="0" collapsed="false">
      <c r="A346" s="14" t="n">
        <v>345</v>
      </c>
      <c r="B346" s="14" t="s">
        <v>139</v>
      </c>
      <c r="C346" s="14" t="s">
        <v>7</v>
      </c>
      <c r="D346" s="14" t="s">
        <v>128</v>
      </c>
      <c r="E346" s="14" t="s">
        <v>273</v>
      </c>
      <c r="F346" s="14" t="s">
        <v>155</v>
      </c>
      <c r="G346" s="14" t="n">
        <v>78745</v>
      </c>
      <c r="H346" s="14" t="s">
        <v>156</v>
      </c>
      <c r="I346" s="14" t="s">
        <v>137</v>
      </c>
      <c r="J346" s="14" t="s">
        <v>143</v>
      </c>
      <c r="K346" s="15" t="n">
        <v>88.8</v>
      </c>
      <c r="L346" s="14" t="n">
        <v>4</v>
      </c>
      <c r="M346" s="16" t="n">
        <v>0.2</v>
      </c>
      <c r="N346" s="15" t="n">
        <v>-2.22</v>
      </c>
      <c r="O346" s="17" t="str">
        <f aca="false">UPPER(LEFT(F346,3))&amp;"-"&amp;G346</f>
        <v>TEX-78745</v>
      </c>
      <c r="P346" s="17" t="str">
        <f aca="false">PROPER(TRIM(E346))</f>
        <v>Austin</v>
      </c>
      <c r="Q346" s="17" t="str">
        <f aca="false">IFERROR(VLOOKUP(F346,Lookups!$A$2:$B$50,2,FALSE()),"Not found")</f>
        <v>Central</v>
      </c>
      <c r="R346" s="17" t="str">
        <f aca="false">IF(Q346=H346,"Match","Mismatch")</f>
        <v>Match</v>
      </c>
      <c r="S346" s="17" t="str">
        <f aca="false">IFERROR(INDEX(SubCatCat,MATCH(J346,SubCatName,0)),"Not found")</f>
        <v>Office Supplies</v>
      </c>
      <c r="T346" s="18" t="n">
        <f aca="false">IF(K346=0,0,N346/K346)</f>
        <v>-0.025</v>
      </c>
      <c r="U346" s="17" t="str">
        <f aca="false">IF(N346&lt;0,"Loss",IF(T346&gt;=0.2,"High margin","Normal"))</f>
        <v>Loss</v>
      </c>
      <c r="V346" s="17" t="str">
        <f aca="false">IF(M346=0,"No discount",IF(M346&lt;=0.2,"Low",IF(M346&lt;=0.4,"Medium","High")))</f>
        <v>Low</v>
      </c>
      <c r="W346" s="17" t="str">
        <f aca="false">IF(OR(B346="Same Day",B346="First Class"),"Fast","Standard")</f>
        <v>Standard</v>
      </c>
      <c r="X346" s="19" t="n">
        <f aca="false">ROUND(K346/L346,2)</f>
        <v>22.2</v>
      </c>
    </row>
    <row r="347" customFormat="false" ht="15" hidden="false" customHeight="false" outlineLevel="0" collapsed="false">
      <c r="A347" s="14" t="n">
        <v>346</v>
      </c>
      <c r="B347" s="14" t="s">
        <v>139</v>
      </c>
      <c r="C347" s="14" t="s">
        <v>7</v>
      </c>
      <c r="D347" s="14" t="s">
        <v>128</v>
      </c>
      <c r="E347" s="14" t="s">
        <v>161</v>
      </c>
      <c r="F347" s="14" t="s">
        <v>9</v>
      </c>
      <c r="G347" s="14" t="n">
        <v>94122</v>
      </c>
      <c r="H347" s="14" t="s">
        <v>3</v>
      </c>
      <c r="I347" s="14" t="s">
        <v>5</v>
      </c>
      <c r="J347" s="14" t="s">
        <v>11</v>
      </c>
      <c r="K347" s="15" t="n">
        <v>47.976</v>
      </c>
      <c r="L347" s="14" t="n">
        <v>3</v>
      </c>
      <c r="M347" s="16" t="n">
        <v>0.2</v>
      </c>
      <c r="N347" s="15" t="n">
        <v>4.7976</v>
      </c>
      <c r="O347" s="17" t="str">
        <f aca="false">UPPER(LEFT(F347,3))&amp;"-"&amp;G347</f>
        <v>CAL-94122</v>
      </c>
      <c r="P347" s="17" t="str">
        <f aca="false">PROPER(TRIM(E347))</f>
        <v>San Francisco</v>
      </c>
      <c r="Q347" s="17" t="str">
        <f aca="false">IFERROR(VLOOKUP(F347,Lookups!$A$2:$B$50,2,FALSE()),"Not found")</f>
        <v>West</v>
      </c>
      <c r="R347" s="17" t="str">
        <f aca="false">IF(Q347=H347,"Match","Mismatch")</f>
        <v>Match</v>
      </c>
      <c r="S347" s="17" t="str">
        <f aca="false">IFERROR(INDEX(SubCatCat,MATCH(J347,SubCatName,0)),"Not found")</f>
        <v>Technology</v>
      </c>
      <c r="T347" s="18" t="n">
        <f aca="false">IF(K347=0,0,N347/K347)</f>
        <v>0.1</v>
      </c>
      <c r="U347" s="17" t="str">
        <f aca="false">IF(N347&lt;0,"Loss",IF(T347&gt;=0.2,"High margin","Normal"))</f>
        <v>Normal</v>
      </c>
      <c r="V347" s="17" t="str">
        <f aca="false">IF(M347=0,"No discount",IF(M347&lt;=0.2,"Low",IF(M347&lt;=0.4,"Medium","High")))</f>
        <v>Low</v>
      </c>
      <c r="W347" s="17" t="str">
        <f aca="false">IF(OR(B347="Same Day",B347="First Class"),"Fast","Standard")</f>
        <v>Standard</v>
      </c>
      <c r="X347" s="19" t="n">
        <f aca="false">ROUND(K347/L347,2)</f>
        <v>15.99</v>
      </c>
    </row>
    <row r="348" customFormat="false" ht="15" hidden="false" customHeight="false" outlineLevel="0" collapsed="false">
      <c r="A348" s="14" t="n">
        <v>347</v>
      </c>
      <c r="B348" s="14" t="s">
        <v>139</v>
      </c>
      <c r="C348" s="14" t="s">
        <v>7</v>
      </c>
      <c r="D348" s="14" t="s">
        <v>128</v>
      </c>
      <c r="E348" s="14" t="s">
        <v>274</v>
      </c>
      <c r="F348" s="14" t="s">
        <v>275</v>
      </c>
      <c r="G348" s="14" t="n">
        <v>1852</v>
      </c>
      <c r="H348" s="14" t="s">
        <v>166</v>
      </c>
      <c r="I348" s="14" t="s">
        <v>137</v>
      </c>
      <c r="J348" s="14" t="s">
        <v>145</v>
      </c>
      <c r="K348" s="15" t="n">
        <v>7.56</v>
      </c>
      <c r="L348" s="14" t="n">
        <v>3</v>
      </c>
      <c r="M348" s="16" t="n">
        <v>0</v>
      </c>
      <c r="N348" s="15" t="n">
        <v>3.0996</v>
      </c>
      <c r="O348" s="17" t="str">
        <f aca="false">UPPER(LEFT(F348,3))&amp;"-"&amp;G348</f>
        <v>MAS-1852</v>
      </c>
      <c r="P348" s="17" t="str">
        <f aca="false">PROPER(TRIM(E348))</f>
        <v>Lowell</v>
      </c>
      <c r="Q348" s="17" t="str">
        <f aca="false">IFERROR(VLOOKUP(F348,Lookups!$A$2:$B$50,2,FALSE()),"Not found")</f>
        <v>East</v>
      </c>
      <c r="R348" s="17" t="str">
        <f aca="false">IF(Q348=H348,"Match","Mismatch")</f>
        <v>Match</v>
      </c>
      <c r="S348" s="17" t="str">
        <f aca="false">IFERROR(INDEX(SubCatCat,MATCH(J348,SubCatName,0)),"Not found")</f>
        <v>Office Supplies</v>
      </c>
      <c r="T348" s="18" t="n">
        <f aca="false">IF(K348=0,0,N348/K348)</f>
        <v>0.41</v>
      </c>
      <c r="U348" s="17" t="str">
        <f aca="false">IF(N348&lt;0,"Loss",IF(T348&gt;=0.2,"High margin","Normal"))</f>
        <v>High margin</v>
      </c>
      <c r="V348" s="17" t="str">
        <f aca="false">IF(M348=0,"No discount",IF(M348&lt;=0.2,"Low",IF(M348&lt;=0.4,"Medium","High")))</f>
        <v>No discount</v>
      </c>
      <c r="W348" s="17" t="str">
        <f aca="false">IF(OR(B348="Same Day",B348="First Class"),"Fast","Standard")</f>
        <v>Standard</v>
      </c>
      <c r="X348" s="19" t="n">
        <f aca="false">ROUND(K348/L348,2)</f>
        <v>2.52</v>
      </c>
    </row>
    <row r="349" customFormat="false" ht="15" hidden="false" customHeight="false" outlineLevel="0" collapsed="false">
      <c r="A349" s="14" t="n">
        <v>348</v>
      </c>
      <c r="B349" s="14" t="s">
        <v>139</v>
      </c>
      <c r="C349" s="14" t="s">
        <v>7</v>
      </c>
      <c r="D349" s="14" t="s">
        <v>128</v>
      </c>
      <c r="E349" s="14" t="s">
        <v>274</v>
      </c>
      <c r="F349" s="14" t="s">
        <v>275</v>
      </c>
      <c r="G349" s="14" t="n">
        <v>1852</v>
      </c>
      <c r="H349" s="14" t="s">
        <v>166</v>
      </c>
      <c r="I349" s="14" t="s">
        <v>137</v>
      </c>
      <c r="J349" s="14" t="s">
        <v>150</v>
      </c>
      <c r="K349" s="15" t="n">
        <v>24.56</v>
      </c>
      <c r="L349" s="14" t="n">
        <v>2</v>
      </c>
      <c r="M349" s="16" t="n">
        <v>0</v>
      </c>
      <c r="N349" s="15" t="n">
        <v>11.5432</v>
      </c>
      <c r="O349" s="17" t="str">
        <f aca="false">UPPER(LEFT(F349,3))&amp;"-"&amp;G349</f>
        <v>MAS-1852</v>
      </c>
      <c r="P349" s="17" t="str">
        <f aca="false">PROPER(TRIM(E349))</f>
        <v>Lowell</v>
      </c>
      <c r="Q349" s="17" t="str">
        <f aca="false">IFERROR(VLOOKUP(F349,Lookups!$A$2:$B$50,2,FALSE()),"Not found")</f>
        <v>East</v>
      </c>
      <c r="R349" s="17" t="str">
        <f aca="false">IF(Q349=H349,"Match","Mismatch")</f>
        <v>Match</v>
      </c>
      <c r="S349" s="17" t="str">
        <f aca="false">IFERROR(INDEX(SubCatCat,MATCH(J349,SubCatName,0)),"Not found")</f>
        <v>Office Supplies</v>
      </c>
      <c r="T349" s="18" t="n">
        <f aca="false">IF(K349=0,0,N349/K349)</f>
        <v>0.47</v>
      </c>
      <c r="U349" s="17" t="str">
        <f aca="false">IF(N349&lt;0,"Loss",IF(T349&gt;=0.2,"High margin","Normal"))</f>
        <v>High margin</v>
      </c>
      <c r="V349" s="17" t="str">
        <f aca="false">IF(M349=0,"No discount",IF(M349&lt;=0.2,"Low",IF(M349&lt;=0.4,"Medium","High")))</f>
        <v>No discount</v>
      </c>
      <c r="W349" s="17" t="str">
        <f aca="false">IF(OR(B349="Same Day",B349="First Class"),"Fast","Standard")</f>
        <v>Standard</v>
      </c>
      <c r="X349" s="19" t="n">
        <f aca="false">ROUND(K349/L349,2)</f>
        <v>12.28</v>
      </c>
    </row>
    <row r="350" customFormat="false" ht="15" hidden="false" customHeight="false" outlineLevel="0" collapsed="false">
      <c r="A350" s="14" t="n">
        <v>349</v>
      </c>
      <c r="B350" s="14" t="s">
        <v>139</v>
      </c>
      <c r="C350" s="14" t="s">
        <v>7</v>
      </c>
      <c r="D350" s="14" t="s">
        <v>128</v>
      </c>
      <c r="E350" s="14" t="s">
        <v>274</v>
      </c>
      <c r="F350" s="14" t="s">
        <v>275</v>
      </c>
      <c r="G350" s="14" t="n">
        <v>1852</v>
      </c>
      <c r="H350" s="14" t="s">
        <v>166</v>
      </c>
      <c r="I350" s="14" t="s">
        <v>137</v>
      </c>
      <c r="J350" s="14" t="s">
        <v>145</v>
      </c>
      <c r="K350" s="15" t="n">
        <v>12.96</v>
      </c>
      <c r="L350" s="14" t="n">
        <v>2</v>
      </c>
      <c r="M350" s="16" t="n">
        <v>0</v>
      </c>
      <c r="N350" s="15" t="n">
        <v>4.1472</v>
      </c>
      <c r="O350" s="17" t="str">
        <f aca="false">UPPER(LEFT(F350,3))&amp;"-"&amp;G350</f>
        <v>MAS-1852</v>
      </c>
      <c r="P350" s="17" t="str">
        <f aca="false">PROPER(TRIM(E350))</f>
        <v>Lowell</v>
      </c>
      <c r="Q350" s="17" t="str">
        <f aca="false">IFERROR(VLOOKUP(F350,Lookups!$A$2:$B$50,2,FALSE()),"Not found")</f>
        <v>East</v>
      </c>
      <c r="R350" s="17" t="str">
        <f aca="false">IF(Q350=H350,"Match","Mismatch")</f>
        <v>Match</v>
      </c>
      <c r="S350" s="17" t="str">
        <f aca="false">IFERROR(INDEX(SubCatCat,MATCH(J350,SubCatName,0)),"Not found")</f>
        <v>Office Supplies</v>
      </c>
      <c r="T350" s="18" t="n">
        <f aca="false">IF(K350=0,0,N350/K350)</f>
        <v>0.32</v>
      </c>
      <c r="U350" s="17" t="str">
        <f aca="false">IF(N350&lt;0,"Loss",IF(T350&gt;=0.2,"High margin","Normal"))</f>
        <v>High margin</v>
      </c>
      <c r="V350" s="17" t="str">
        <f aca="false">IF(M350=0,"No discount",IF(M350&lt;=0.2,"Low",IF(M350&lt;=0.4,"Medium","High")))</f>
        <v>No discount</v>
      </c>
      <c r="W350" s="17" t="str">
        <f aca="false">IF(OR(B350="Same Day",B350="First Class"),"Fast","Standard")</f>
        <v>Standard</v>
      </c>
      <c r="X350" s="19" t="n">
        <f aca="false">ROUND(K350/L350,2)</f>
        <v>6.48</v>
      </c>
    </row>
    <row r="351" customFormat="false" ht="15" hidden="false" customHeight="false" outlineLevel="0" collapsed="false">
      <c r="A351" s="14" t="n">
        <v>350</v>
      </c>
      <c r="B351" s="14" t="s">
        <v>171</v>
      </c>
      <c r="C351" s="14" t="s">
        <v>153</v>
      </c>
      <c r="D351" s="14" t="s">
        <v>128</v>
      </c>
      <c r="E351" s="14" t="s">
        <v>184</v>
      </c>
      <c r="F351" s="14" t="s">
        <v>185</v>
      </c>
      <c r="G351" s="14" t="n">
        <v>10009</v>
      </c>
      <c r="H351" s="14" t="s">
        <v>166</v>
      </c>
      <c r="I351" s="14" t="s">
        <v>5</v>
      </c>
      <c r="J351" s="14" t="s">
        <v>168</v>
      </c>
      <c r="K351" s="15" t="n">
        <v>6.79</v>
      </c>
      <c r="L351" s="14" t="n">
        <v>1</v>
      </c>
      <c r="M351" s="16" t="n">
        <v>0</v>
      </c>
      <c r="N351" s="15" t="n">
        <v>2.3086</v>
      </c>
      <c r="O351" s="17" t="str">
        <f aca="false">UPPER(LEFT(F351,3))&amp;"-"&amp;G351</f>
        <v>NEW-10009</v>
      </c>
      <c r="P351" s="17" t="str">
        <f aca="false">PROPER(TRIM(E351))</f>
        <v>New York City</v>
      </c>
      <c r="Q351" s="17" t="str">
        <f aca="false">IFERROR(VLOOKUP(F351,Lookups!$A$2:$B$50,2,FALSE()),"Not found")</f>
        <v>East</v>
      </c>
      <c r="R351" s="17" t="str">
        <f aca="false">IF(Q351=H351,"Match","Mismatch")</f>
        <v>Match</v>
      </c>
      <c r="S351" s="17" t="str">
        <f aca="false">IFERROR(INDEX(SubCatCat,MATCH(J351,SubCatName,0)),"Not found")</f>
        <v>Technology</v>
      </c>
      <c r="T351" s="18" t="n">
        <f aca="false">IF(K351=0,0,N351/K351)</f>
        <v>0.34</v>
      </c>
      <c r="U351" s="17" t="str">
        <f aca="false">IF(N351&lt;0,"Loss",IF(T351&gt;=0.2,"High margin","Normal"))</f>
        <v>High margin</v>
      </c>
      <c r="V351" s="17" t="str">
        <f aca="false">IF(M351=0,"No discount",IF(M351&lt;=0.2,"Low",IF(M351&lt;=0.4,"Medium","High")))</f>
        <v>No discount</v>
      </c>
      <c r="W351" s="17" t="str">
        <f aca="false">IF(OR(B351="Same Day",B351="First Class"),"Fast","Standard")</f>
        <v>Fast</v>
      </c>
      <c r="X351" s="19" t="n">
        <f aca="false">ROUND(K351/L351,2)</f>
        <v>6.79</v>
      </c>
    </row>
    <row r="352" customFormat="false" ht="15" hidden="false" customHeight="false" outlineLevel="0" collapsed="false">
      <c r="A352" s="14" t="n">
        <v>351</v>
      </c>
      <c r="B352" s="14" t="s">
        <v>171</v>
      </c>
      <c r="C352" s="14" t="s">
        <v>153</v>
      </c>
      <c r="D352" s="14" t="s">
        <v>128</v>
      </c>
      <c r="E352" s="14" t="s">
        <v>184</v>
      </c>
      <c r="F352" s="14" t="s">
        <v>185</v>
      </c>
      <c r="G352" s="14" t="n">
        <v>10009</v>
      </c>
      <c r="H352" s="14" t="s">
        <v>166</v>
      </c>
      <c r="I352" s="14" t="s">
        <v>137</v>
      </c>
      <c r="J352" s="14" t="s">
        <v>150</v>
      </c>
      <c r="K352" s="15" t="n">
        <v>24.56</v>
      </c>
      <c r="L352" s="14" t="n">
        <v>2</v>
      </c>
      <c r="M352" s="16" t="n">
        <v>0</v>
      </c>
      <c r="N352" s="15" t="n">
        <v>11.5432</v>
      </c>
      <c r="O352" s="17" t="str">
        <f aca="false">UPPER(LEFT(F352,3))&amp;"-"&amp;G352</f>
        <v>NEW-10009</v>
      </c>
      <c r="P352" s="17" t="str">
        <f aca="false">PROPER(TRIM(E352))</f>
        <v>New York City</v>
      </c>
      <c r="Q352" s="17" t="str">
        <f aca="false">IFERROR(VLOOKUP(F352,Lookups!$A$2:$B$50,2,FALSE()),"Not found")</f>
        <v>East</v>
      </c>
      <c r="R352" s="17" t="str">
        <f aca="false">IF(Q352=H352,"Match","Mismatch")</f>
        <v>Match</v>
      </c>
      <c r="S352" s="17" t="str">
        <f aca="false">IFERROR(INDEX(SubCatCat,MATCH(J352,SubCatName,0)),"Not found")</f>
        <v>Office Supplies</v>
      </c>
      <c r="T352" s="18" t="n">
        <f aca="false">IF(K352=0,0,N352/K352)</f>
        <v>0.47</v>
      </c>
      <c r="U352" s="17" t="str">
        <f aca="false">IF(N352&lt;0,"Loss",IF(T352&gt;=0.2,"High margin","Normal"))</f>
        <v>High margin</v>
      </c>
      <c r="V352" s="17" t="str">
        <f aca="false">IF(M352=0,"No discount",IF(M352&lt;=0.2,"Low",IF(M352&lt;=0.4,"Medium","High")))</f>
        <v>No discount</v>
      </c>
      <c r="W352" s="17" t="str">
        <f aca="false">IF(OR(B352="Same Day",B352="First Class"),"Fast","Standard")</f>
        <v>Fast</v>
      </c>
      <c r="X352" s="19" t="n">
        <f aca="false">ROUND(K352/L352,2)</f>
        <v>12.28</v>
      </c>
    </row>
    <row r="353" customFormat="false" ht="15" hidden="false" customHeight="false" outlineLevel="0" collapsed="false">
      <c r="A353" s="14" t="n">
        <v>352</v>
      </c>
      <c r="B353" s="14" t="s">
        <v>171</v>
      </c>
      <c r="C353" s="14" t="s">
        <v>153</v>
      </c>
      <c r="D353" s="14" t="s">
        <v>128</v>
      </c>
      <c r="E353" s="14" t="s">
        <v>184</v>
      </c>
      <c r="F353" s="14" t="s">
        <v>185</v>
      </c>
      <c r="G353" s="14" t="n">
        <v>10009</v>
      </c>
      <c r="H353" s="14" t="s">
        <v>166</v>
      </c>
      <c r="I353" s="14" t="s">
        <v>137</v>
      </c>
      <c r="J353" s="14" t="s">
        <v>146</v>
      </c>
      <c r="K353" s="15" t="n">
        <v>3.048</v>
      </c>
      <c r="L353" s="14" t="n">
        <v>1</v>
      </c>
      <c r="M353" s="16" t="n">
        <v>0.2</v>
      </c>
      <c r="N353" s="15" t="n">
        <v>1.0668</v>
      </c>
      <c r="O353" s="17" t="str">
        <f aca="false">UPPER(LEFT(F353,3))&amp;"-"&amp;G353</f>
        <v>NEW-10009</v>
      </c>
      <c r="P353" s="17" t="str">
        <f aca="false">PROPER(TRIM(E353))</f>
        <v>New York City</v>
      </c>
      <c r="Q353" s="17" t="str">
        <f aca="false">IFERROR(VLOOKUP(F353,Lookups!$A$2:$B$50,2,FALSE()),"Not found")</f>
        <v>East</v>
      </c>
      <c r="R353" s="17" t="str">
        <f aca="false">IF(Q353=H353,"Match","Mismatch")</f>
        <v>Match</v>
      </c>
      <c r="S353" s="17" t="str">
        <f aca="false">IFERROR(INDEX(SubCatCat,MATCH(J353,SubCatName,0)),"Not found")</f>
        <v>Office Supplies</v>
      </c>
      <c r="T353" s="18" t="n">
        <f aca="false">IF(K353=0,0,N353/K353)</f>
        <v>0.35</v>
      </c>
      <c r="U353" s="17" t="str">
        <f aca="false">IF(N353&lt;0,"Loss",IF(T353&gt;=0.2,"High margin","Normal"))</f>
        <v>High margin</v>
      </c>
      <c r="V353" s="17" t="str">
        <f aca="false">IF(M353=0,"No discount",IF(M353&lt;=0.2,"Low",IF(M353&lt;=0.4,"Medium","High")))</f>
        <v>Low</v>
      </c>
      <c r="W353" s="17" t="str">
        <f aca="false">IF(OR(B353="Same Day",B353="First Class"),"Fast","Standard")</f>
        <v>Fast</v>
      </c>
      <c r="X353" s="19" t="n">
        <f aca="false">ROUND(K353/L353,2)</f>
        <v>3.05</v>
      </c>
    </row>
    <row r="354" customFormat="false" ht="15" hidden="false" customHeight="false" outlineLevel="0" collapsed="false">
      <c r="A354" s="14" t="n">
        <v>353</v>
      </c>
      <c r="B354" s="14" t="s">
        <v>171</v>
      </c>
      <c r="C354" s="14" t="s">
        <v>153</v>
      </c>
      <c r="D354" s="14" t="s">
        <v>128</v>
      </c>
      <c r="E354" s="14" t="s">
        <v>184</v>
      </c>
      <c r="F354" s="14" t="s">
        <v>185</v>
      </c>
      <c r="G354" s="14" t="n">
        <v>10009</v>
      </c>
      <c r="H354" s="14" t="s">
        <v>166</v>
      </c>
      <c r="I354" s="14" t="s">
        <v>137</v>
      </c>
      <c r="J354" s="14" t="s">
        <v>150</v>
      </c>
      <c r="K354" s="15" t="n">
        <v>49.12</v>
      </c>
      <c r="L354" s="14" t="n">
        <v>4</v>
      </c>
      <c r="M354" s="16" t="n">
        <v>0</v>
      </c>
      <c r="N354" s="15" t="n">
        <v>23.0864</v>
      </c>
      <c r="O354" s="17" t="str">
        <f aca="false">UPPER(LEFT(F354,3))&amp;"-"&amp;G354</f>
        <v>NEW-10009</v>
      </c>
      <c r="P354" s="17" t="str">
        <f aca="false">PROPER(TRIM(E354))</f>
        <v>New York City</v>
      </c>
      <c r="Q354" s="17" t="str">
        <f aca="false">IFERROR(VLOOKUP(F354,Lookups!$A$2:$B$50,2,FALSE()),"Not found")</f>
        <v>East</v>
      </c>
      <c r="R354" s="17" t="str">
        <f aca="false">IF(Q354=H354,"Match","Mismatch")</f>
        <v>Match</v>
      </c>
      <c r="S354" s="17" t="str">
        <f aca="false">IFERROR(INDEX(SubCatCat,MATCH(J354,SubCatName,0)),"Not found")</f>
        <v>Office Supplies</v>
      </c>
      <c r="T354" s="18" t="n">
        <f aca="false">IF(K354=0,0,N354/K354)</f>
        <v>0.47</v>
      </c>
      <c r="U354" s="17" t="str">
        <f aca="false">IF(N354&lt;0,"Loss",IF(T354&gt;=0.2,"High margin","Normal"))</f>
        <v>High margin</v>
      </c>
      <c r="V354" s="17" t="str">
        <f aca="false">IF(M354=0,"No discount",IF(M354&lt;=0.2,"Low",IF(M354&lt;=0.4,"Medium","High")))</f>
        <v>No discount</v>
      </c>
      <c r="W354" s="17" t="str">
        <f aca="false">IF(OR(B354="Same Day",B354="First Class"),"Fast","Standard")</f>
        <v>Fast</v>
      </c>
      <c r="X354" s="19" t="n">
        <f aca="false">ROUND(K354/L354,2)</f>
        <v>12.28</v>
      </c>
    </row>
    <row r="355" customFormat="false" ht="15" hidden="false" customHeight="false" outlineLevel="0" collapsed="false">
      <c r="A355" s="14" t="n">
        <v>354</v>
      </c>
      <c r="B355" s="14" t="s">
        <v>171</v>
      </c>
      <c r="C355" s="14" t="s">
        <v>153</v>
      </c>
      <c r="D355" s="14" t="s">
        <v>128</v>
      </c>
      <c r="E355" s="14" t="s">
        <v>184</v>
      </c>
      <c r="F355" s="14" t="s">
        <v>185</v>
      </c>
      <c r="G355" s="14" t="n">
        <v>10009</v>
      </c>
      <c r="H355" s="14" t="s">
        <v>166</v>
      </c>
      <c r="I355" s="14" t="s">
        <v>137</v>
      </c>
      <c r="J355" s="14" t="s">
        <v>146</v>
      </c>
      <c r="K355" s="15" t="n">
        <v>4355.168</v>
      </c>
      <c r="L355" s="14" t="n">
        <v>4</v>
      </c>
      <c r="M355" s="16" t="n">
        <v>0.2</v>
      </c>
      <c r="N355" s="15" t="n">
        <v>1415.4296</v>
      </c>
      <c r="O355" s="17" t="str">
        <f aca="false">UPPER(LEFT(F355,3))&amp;"-"&amp;G355</f>
        <v>NEW-10009</v>
      </c>
      <c r="P355" s="17" t="str">
        <f aca="false">PROPER(TRIM(E355))</f>
        <v>New York City</v>
      </c>
      <c r="Q355" s="17" t="str">
        <f aca="false">IFERROR(VLOOKUP(F355,Lookups!$A$2:$B$50,2,FALSE()),"Not found")</f>
        <v>East</v>
      </c>
      <c r="R355" s="17" t="str">
        <f aca="false">IF(Q355=H355,"Match","Mismatch")</f>
        <v>Match</v>
      </c>
      <c r="S355" s="17" t="str">
        <f aca="false">IFERROR(INDEX(SubCatCat,MATCH(J355,SubCatName,0)),"Not found")</f>
        <v>Office Supplies</v>
      </c>
      <c r="T355" s="18" t="n">
        <f aca="false">IF(K355=0,0,N355/K355)</f>
        <v>0.325</v>
      </c>
      <c r="U355" s="17" t="str">
        <f aca="false">IF(N355&lt;0,"Loss",IF(T355&gt;=0.2,"High margin","Normal"))</f>
        <v>High margin</v>
      </c>
      <c r="V355" s="17" t="str">
        <f aca="false">IF(M355=0,"No discount",IF(M355&lt;=0.2,"Low",IF(M355&lt;=0.4,"Medium","High")))</f>
        <v>Low</v>
      </c>
      <c r="W355" s="17" t="str">
        <f aca="false">IF(OR(B355="Same Day",B355="First Class"),"Fast","Standard")</f>
        <v>Fast</v>
      </c>
      <c r="X355" s="19" t="n">
        <f aca="false">ROUND(K355/L355,2)</f>
        <v>1088.79</v>
      </c>
    </row>
    <row r="356" customFormat="false" ht="15" hidden="false" customHeight="false" outlineLevel="0" collapsed="false">
      <c r="A356" s="14" t="n">
        <v>355</v>
      </c>
      <c r="B356" s="14" t="s">
        <v>139</v>
      </c>
      <c r="C356" s="14" t="s">
        <v>7</v>
      </c>
      <c r="D356" s="14" t="s">
        <v>128</v>
      </c>
      <c r="E356" s="14" t="s">
        <v>184</v>
      </c>
      <c r="F356" s="14" t="s">
        <v>185</v>
      </c>
      <c r="G356" s="14" t="n">
        <v>10035</v>
      </c>
      <c r="H356" s="14" t="s">
        <v>166</v>
      </c>
      <c r="I356" s="14" t="s">
        <v>132</v>
      </c>
      <c r="J356" s="14" t="s">
        <v>133</v>
      </c>
      <c r="K356" s="15" t="n">
        <v>388.704</v>
      </c>
      <c r="L356" s="14" t="n">
        <v>6</v>
      </c>
      <c r="M356" s="16" t="n">
        <v>0.2</v>
      </c>
      <c r="N356" s="15" t="n">
        <v>-4.8588</v>
      </c>
      <c r="O356" s="17" t="str">
        <f aca="false">UPPER(LEFT(F356,3))&amp;"-"&amp;G356</f>
        <v>NEW-10035</v>
      </c>
      <c r="P356" s="17" t="str">
        <f aca="false">PROPER(TRIM(E356))</f>
        <v>New York City</v>
      </c>
      <c r="Q356" s="17" t="str">
        <f aca="false">IFERROR(VLOOKUP(F356,Lookups!$A$2:$B$50,2,FALSE()),"Not found")</f>
        <v>East</v>
      </c>
      <c r="R356" s="17" t="str">
        <f aca="false">IF(Q356=H356,"Match","Mismatch")</f>
        <v>Match</v>
      </c>
      <c r="S356" s="17" t="str">
        <f aca="false">IFERROR(INDEX(SubCatCat,MATCH(J356,SubCatName,0)),"Not found")</f>
        <v>Furniture</v>
      </c>
      <c r="T356" s="18" t="n">
        <f aca="false">IF(K356=0,0,N356/K356)</f>
        <v>-0.0125</v>
      </c>
      <c r="U356" s="17" t="str">
        <f aca="false">IF(N356&lt;0,"Loss",IF(T356&gt;=0.2,"High margin","Normal"))</f>
        <v>Loss</v>
      </c>
      <c r="V356" s="17" t="str">
        <f aca="false">IF(M356=0,"No discount",IF(M356&lt;=0.2,"Low",IF(M356&lt;=0.4,"Medium","High")))</f>
        <v>Low</v>
      </c>
      <c r="W356" s="17" t="str">
        <f aca="false">IF(OR(B356="Same Day",B356="First Class"),"Fast","Standard")</f>
        <v>Standard</v>
      </c>
      <c r="X356" s="19" t="n">
        <f aca="false">ROUND(K356/L356,2)</f>
        <v>64.78</v>
      </c>
    </row>
    <row r="357" customFormat="false" ht="15" hidden="false" customHeight="false" outlineLevel="0" collapsed="false">
      <c r="A357" s="14" t="n">
        <v>356</v>
      </c>
      <c r="B357" s="14" t="s">
        <v>139</v>
      </c>
      <c r="C357" s="14" t="s">
        <v>7</v>
      </c>
      <c r="D357" s="14" t="s">
        <v>128</v>
      </c>
      <c r="E357" s="14" t="s">
        <v>184</v>
      </c>
      <c r="F357" s="14" t="s">
        <v>185</v>
      </c>
      <c r="G357" s="14" t="n">
        <v>10035</v>
      </c>
      <c r="H357" s="14" t="s">
        <v>166</v>
      </c>
      <c r="I357" s="14" t="s">
        <v>137</v>
      </c>
      <c r="J357" s="14" t="s">
        <v>169</v>
      </c>
      <c r="K357" s="15" t="n">
        <v>8.26</v>
      </c>
      <c r="L357" s="14" t="n">
        <v>2</v>
      </c>
      <c r="M357" s="16" t="n">
        <v>0</v>
      </c>
      <c r="N357" s="15" t="n">
        <v>3.7996</v>
      </c>
      <c r="O357" s="17" t="str">
        <f aca="false">UPPER(LEFT(F357,3))&amp;"-"&amp;G357</f>
        <v>NEW-10035</v>
      </c>
      <c r="P357" s="17" t="str">
        <f aca="false">PROPER(TRIM(E357))</f>
        <v>New York City</v>
      </c>
      <c r="Q357" s="17" t="str">
        <f aca="false">IFERROR(VLOOKUP(F357,Lookups!$A$2:$B$50,2,FALSE()),"Not found")</f>
        <v>East</v>
      </c>
      <c r="R357" s="17" t="str">
        <f aca="false">IF(Q357=H357,"Match","Mismatch")</f>
        <v>Match</v>
      </c>
      <c r="S357" s="17" t="str">
        <f aca="false">IFERROR(INDEX(SubCatCat,MATCH(J357,SubCatName,0)),"Not found")</f>
        <v>Office Supplies</v>
      </c>
      <c r="T357" s="18" t="n">
        <f aca="false">IF(K357=0,0,N357/K357)</f>
        <v>0.46</v>
      </c>
      <c r="U357" s="17" t="str">
        <f aca="false">IF(N357&lt;0,"Loss",IF(T357&gt;=0.2,"High margin","Normal"))</f>
        <v>High margin</v>
      </c>
      <c r="V357" s="17" t="str">
        <f aca="false">IF(M357=0,"No discount",IF(M357&lt;=0.2,"Low",IF(M357&lt;=0.4,"Medium","High")))</f>
        <v>No discount</v>
      </c>
      <c r="W357" s="17" t="str">
        <f aca="false">IF(OR(B357="Same Day",B357="First Class"),"Fast","Standard")</f>
        <v>Standard</v>
      </c>
      <c r="X357" s="19" t="n">
        <f aca="false">ROUND(K357/L357,2)</f>
        <v>4.13</v>
      </c>
    </row>
    <row r="358" customFormat="false" ht="15" hidden="false" customHeight="false" outlineLevel="0" collapsed="false">
      <c r="A358" s="14" t="n">
        <v>357</v>
      </c>
      <c r="B358" s="14" t="s">
        <v>139</v>
      </c>
      <c r="C358" s="14" t="s">
        <v>7</v>
      </c>
      <c r="D358" s="14" t="s">
        <v>128</v>
      </c>
      <c r="E358" s="14" t="s">
        <v>184</v>
      </c>
      <c r="F358" s="14" t="s">
        <v>185</v>
      </c>
      <c r="G358" s="14" t="n">
        <v>10035</v>
      </c>
      <c r="H358" s="14" t="s">
        <v>166</v>
      </c>
      <c r="I358" s="14" t="s">
        <v>137</v>
      </c>
      <c r="J358" s="14" t="s">
        <v>145</v>
      </c>
      <c r="K358" s="15" t="n">
        <v>17.04</v>
      </c>
      <c r="L358" s="14" t="n">
        <v>4</v>
      </c>
      <c r="M358" s="16" t="n">
        <v>0</v>
      </c>
      <c r="N358" s="15" t="n">
        <v>6.9864</v>
      </c>
      <c r="O358" s="17" t="str">
        <f aca="false">UPPER(LEFT(F358,3))&amp;"-"&amp;G358</f>
        <v>NEW-10035</v>
      </c>
      <c r="P358" s="17" t="str">
        <f aca="false">PROPER(TRIM(E358))</f>
        <v>New York City</v>
      </c>
      <c r="Q358" s="17" t="str">
        <f aca="false">IFERROR(VLOOKUP(F358,Lookups!$A$2:$B$50,2,FALSE()),"Not found")</f>
        <v>East</v>
      </c>
      <c r="R358" s="17" t="str">
        <f aca="false">IF(Q358=H358,"Match","Mismatch")</f>
        <v>Match</v>
      </c>
      <c r="S358" s="17" t="str">
        <f aca="false">IFERROR(INDEX(SubCatCat,MATCH(J358,SubCatName,0)),"Not found")</f>
        <v>Office Supplies</v>
      </c>
      <c r="T358" s="18" t="n">
        <f aca="false">IF(K358=0,0,N358/K358)</f>
        <v>0.41</v>
      </c>
      <c r="U358" s="17" t="str">
        <f aca="false">IF(N358&lt;0,"Loss",IF(T358&gt;=0.2,"High margin","Normal"))</f>
        <v>High margin</v>
      </c>
      <c r="V358" s="17" t="str">
        <f aca="false">IF(M358=0,"No discount",IF(M358&lt;=0.2,"Low",IF(M358&lt;=0.4,"Medium","High")))</f>
        <v>No discount</v>
      </c>
      <c r="W358" s="17" t="str">
        <f aca="false">IF(OR(B358="Same Day",B358="First Class"),"Fast","Standard")</f>
        <v>Standard</v>
      </c>
      <c r="X358" s="19" t="n">
        <f aca="false">ROUND(K358/L358,2)</f>
        <v>4.26</v>
      </c>
    </row>
    <row r="359" customFormat="false" ht="15" hidden="false" customHeight="false" outlineLevel="0" collapsed="false">
      <c r="A359" s="14" t="n">
        <v>358</v>
      </c>
      <c r="B359" s="14" t="s">
        <v>139</v>
      </c>
      <c r="C359" s="14" t="s">
        <v>7</v>
      </c>
      <c r="D359" s="14" t="s">
        <v>128</v>
      </c>
      <c r="E359" s="14" t="s">
        <v>184</v>
      </c>
      <c r="F359" s="14" t="s">
        <v>185</v>
      </c>
      <c r="G359" s="14" t="n">
        <v>10035</v>
      </c>
      <c r="H359" s="14" t="s">
        <v>166</v>
      </c>
      <c r="I359" s="14" t="s">
        <v>137</v>
      </c>
      <c r="J359" s="14" t="s">
        <v>150</v>
      </c>
      <c r="K359" s="15" t="n">
        <v>34.4</v>
      </c>
      <c r="L359" s="14" t="n">
        <v>5</v>
      </c>
      <c r="M359" s="16" t="n">
        <v>0</v>
      </c>
      <c r="N359" s="15" t="n">
        <v>15.824</v>
      </c>
      <c r="O359" s="17" t="str">
        <f aca="false">UPPER(LEFT(F359,3))&amp;"-"&amp;G359</f>
        <v>NEW-10035</v>
      </c>
      <c r="P359" s="17" t="str">
        <f aca="false">PROPER(TRIM(E359))</f>
        <v>New York City</v>
      </c>
      <c r="Q359" s="17" t="str">
        <f aca="false">IFERROR(VLOOKUP(F359,Lookups!$A$2:$B$50,2,FALSE()),"Not found")</f>
        <v>East</v>
      </c>
      <c r="R359" s="17" t="str">
        <f aca="false">IF(Q359=H359,"Match","Mismatch")</f>
        <v>Match</v>
      </c>
      <c r="S359" s="17" t="str">
        <f aca="false">IFERROR(INDEX(SubCatCat,MATCH(J359,SubCatName,0)),"Not found")</f>
        <v>Office Supplies</v>
      </c>
      <c r="T359" s="18" t="n">
        <f aca="false">IF(K359=0,0,N359/K359)</f>
        <v>0.46</v>
      </c>
      <c r="U359" s="17" t="str">
        <f aca="false">IF(N359&lt;0,"Loss",IF(T359&gt;=0.2,"High margin","Normal"))</f>
        <v>High margin</v>
      </c>
      <c r="V359" s="17" t="str">
        <f aca="false">IF(M359=0,"No discount",IF(M359&lt;=0.2,"Low",IF(M359&lt;=0.4,"Medium","High")))</f>
        <v>No discount</v>
      </c>
      <c r="W359" s="17" t="str">
        <f aca="false">IF(OR(B359="Same Day",B359="First Class"),"Fast","Standard")</f>
        <v>Standard</v>
      </c>
      <c r="X359" s="19" t="n">
        <f aca="false">ROUND(K359/L359,2)</f>
        <v>6.88</v>
      </c>
    </row>
    <row r="360" customFormat="false" ht="15" hidden="false" customHeight="false" outlineLevel="0" collapsed="false">
      <c r="A360" s="14" t="n">
        <v>359</v>
      </c>
      <c r="B360" s="14" t="s">
        <v>139</v>
      </c>
      <c r="C360" s="14" t="s">
        <v>135</v>
      </c>
      <c r="D360" s="14" t="s">
        <v>128</v>
      </c>
      <c r="E360" s="14" t="s">
        <v>208</v>
      </c>
      <c r="F360" s="14" t="s">
        <v>149</v>
      </c>
      <c r="G360" s="14" t="n">
        <v>28205</v>
      </c>
      <c r="H360" s="14" t="s">
        <v>131</v>
      </c>
      <c r="I360" s="14" t="s">
        <v>137</v>
      </c>
      <c r="J360" s="14" t="s">
        <v>150</v>
      </c>
      <c r="K360" s="15" t="n">
        <v>36.24</v>
      </c>
      <c r="L360" s="14" t="n">
        <v>5</v>
      </c>
      <c r="M360" s="16" t="n">
        <v>0.2</v>
      </c>
      <c r="N360" s="15" t="n">
        <v>11.325</v>
      </c>
      <c r="O360" s="17" t="str">
        <f aca="false">UPPER(LEFT(F360,3))&amp;"-"&amp;G360</f>
        <v>NOR-28205</v>
      </c>
      <c r="P360" s="17" t="str">
        <f aca="false">PROPER(TRIM(E360))</f>
        <v>Charlotte</v>
      </c>
      <c r="Q360" s="17" t="str">
        <f aca="false">IFERROR(VLOOKUP(F360,Lookups!$A$2:$B$50,2,FALSE()),"Not found")</f>
        <v>South</v>
      </c>
      <c r="R360" s="17" t="str">
        <f aca="false">IF(Q360=H360,"Match","Mismatch")</f>
        <v>Match</v>
      </c>
      <c r="S360" s="17" t="str">
        <f aca="false">IFERROR(INDEX(SubCatCat,MATCH(J360,SubCatName,0)),"Not found")</f>
        <v>Office Supplies</v>
      </c>
      <c r="T360" s="18" t="n">
        <f aca="false">IF(K360=0,0,N360/K360)</f>
        <v>0.3125</v>
      </c>
      <c r="U360" s="17" t="str">
        <f aca="false">IF(N360&lt;0,"Loss",IF(T360&gt;=0.2,"High margin","Normal"))</f>
        <v>High margin</v>
      </c>
      <c r="V360" s="17" t="str">
        <f aca="false">IF(M360=0,"No discount",IF(M360&lt;=0.2,"Low",IF(M360&lt;=0.4,"Medium","High")))</f>
        <v>Low</v>
      </c>
      <c r="W360" s="17" t="str">
        <f aca="false">IF(OR(B360="Same Day",B360="First Class"),"Fast","Standard")</f>
        <v>Standard</v>
      </c>
      <c r="X360" s="19" t="n">
        <f aca="false">ROUND(K360/L360,2)</f>
        <v>7.25</v>
      </c>
    </row>
    <row r="361" customFormat="false" ht="15" hidden="false" customHeight="false" outlineLevel="0" collapsed="false">
      <c r="A361" s="14" t="n">
        <v>360</v>
      </c>
      <c r="B361" s="14" t="s">
        <v>171</v>
      </c>
      <c r="C361" s="14" t="s">
        <v>135</v>
      </c>
      <c r="D361" s="14" t="s">
        <v>128</v>
      </c>
      <c r="E361" s="14" t="s">
        <v>212</v>
      </c>
      <c r="F361" s="14" t="s">
        <v>276</v>
      </c>
      <c r="G361" s="14" t="n">
        <v>31907</v>
      </c>
      <c r="H361" s="14" t="s">
        <v>131</v>
      </c>
      <c r="I361" s="14" t="s">
        <v>137</v>
      </c>
      <c r="J361" s="14" t="s">
        <v>147</v>
      </c>
      <c r="K361" s="15" t="n">
        <v>647.84</v>
      </c>
      <c r="L361" s="14" t="n">
        <v>8</v>
      </c>
      <c r="M361" s="16" t="n">
        <v>0</v>
      </c>
      <c r="N361" s="15" t="n">
        <v>168.4384</v>
      </c>
      <c r="O361" s="17" t="str">
        <f aca="false">UPPER(LEFT(F361,3))&amp;"-"&amp;G361</f>
        <v>GEO-31907</v>
      </c>
      <c r="P361" s="17" t="str">
        <f aca="false">PROPER(TRIM(E361))</f>
        <v>Columbus</v>
      </c>
      <c r="Q361" s="17" t="str">
        <f aca="false">IFERROR(VLOOKUP(F361,Lookups!$A$2:$B$50,2,FALSE()),"Not found")</f>
        <v>South</v>
      </c>
      <c r="R361" s="17" t="str">
        <f aca="false">IF(Q361=H361,"Match","Mismatch")</f>
        <v>Match</v>
      </c>
      <c r="S361" s="17" t="str">
        <f aca="false">IFERROR(INDEX(SubCatCat,MATCH(J361,SubCatName,0)),"Not found")</f>
        <v>Office Supplies</v>
      </c>
      <c r="T361" s="18" t="n">
        <f aca="false">IF(K361=0,0,N361/K361)</f>
        <v>0.26</v>
      </c>
      <c r="U361" s="17" t="str">
        <f aca="false">IF(N361&lt;0,"Loss",IF(T361&gt;=0.2,"High margin","Normal"))</f>
        <v>High margin</v>
      </c>
      <c r="V361" s="17" t="str">
        <f aca="false">IF(M361=0,"No discount",IF(M361&lt;=0.2,"Low",IF(M361&lt;=0.4,"Medium","High")))</f>
        <v>No discount</v>
      </c>
      <c r="W361" s="17" t="str">
        <f aca="false">IF(OR(B361="Same Day",B361="First Class"),"Fast","Standard")</f>
        <v>Fast</v>
      </c>
      <c r="X361" s="19" t="n">
        <f aca="false">ROUND(K361/L361,2)</f>
        <v>80.98</v>
      </c>
    </row>
    <row r="362" customFormat="false" ht="15" hidden="false" customHeight="false" outlineLevel="0" collapsed="false">
      <c r="A362" s="14" t="n">
        <v>361</v>
      </c>
      <c r="B362" s="14" t="s">
        <v>171</v>
      </c>
      <c r="C362" s="14" t="s">
        <v>135</v>
      </c>
      <c r="D362" s="14" t="s">
        <v>128</v>
      </c>
      <c r="E362" s="14" t="s">
        <v>212</v>
      </c>
      <c r="F362" s="14" t="s">
        <v>276</v>
      </c>
      <c r="G362" s="14" t="n">
        <v>31907</v>
      </c>
      <c r="H362" s="14" t="s">
        <v>131</v>
      </c>
      <c r="I362" s="14" t="s">
        <v>137</v>
      </c>
      <c r="J362" s="14" t="s">
        <v>138</v>
      </c>
      <c r="K362" s="15" t="n">
        <v>20.7</v>
      </c>
      <c r="L362" s="14" t="n">
        <v>2</v>
      </c>
      <c r="M362" s="16" t="n">
        <v>0</v>
      </c>
      <c r="N362" s="15" t="n">
        <v>9.936</v>
      </c>
      <c r="O362" s="17" t="str">
        <f aca="false">UPPER(LEFT(F362,3))&amp;"-"&amp;G362</f>
        <v>GEO-31907</v>
      </c>
      <c r="P362" s="17" t="str">
        <f aca="false">PROPER(TRIM(E362))</f>
        <v>Columbus</v>
      </c>
      <c r="Q362" s="17" t="str">
        <f aca="false">IFERROR(VLOOKUP(F362,Lookups!$A$2:$B$50,2,FALSE()),"Not found")</f>
        <v>South</v>
      </c>
      <c r="R362" s="17" t="str">
        <f aca="false">IF(Q362=H362,"Match","Mismatch")</f>
        <v>Match</v>
      </c>
      <c r="S362" s="17" t="str">
        <f aca="false">IFERROR(INDEX(SubCatCat,MATCH(J362,SubCatName,0)),"Not found")</f>
        <v>Office Supplies</v>
      </c>
      <c r="T362" s="18" t="n">
        <f aca="false">IF(K362=0,0,N362/K362)</f>
        <v>0.48</v>
      </c>
      <c r="U362" s="17" t="str">
        <f aca="false">IF(N362&lt;0,"Loss",IF(T362&gt;=0.2,"High margin","Normal"))</f>
        <v>High margin</v>
      </c>
      <c r="V362" s="17" t="str">
        <f aca="false">IF(M362=0,"No discount",IF(M362&lt;=0.2,"Low",IF(M362&lt;=0.4,"Medium","High")))</f>
        <v>No discount</v>
      </c>
      <c r="W362" s="17" t="str">
        <f aca="false">IF(OR(B362="Same Day",B362="First Class"),"Fast","Standard")</f>
        <v>Fast</v>
      </c>
      <c r="X362" s="19" t="n">
        <f aca="false">ROUND(K362/L362,2)</f>
        <v>10.35</v>
      </c>
    </row>
    <row r="363" customFormat="false" ht="15" hidden="false" customHeight="false" outlineLevel="0" collapsed="false">
      <c r="A363" s="14" t="n">
        <v>362</v>
      </c>
      <c r="B363" s="14" t="s">
        <v>139</v>
      </c>
      <c r="C363" s="14" t="s">
        <v>7</v>
      </c>
      <c r="D363" s="14" t="s">
        <v>128</v>
      </c>
      <c r="E363" s="14" t="s">
        <v>184</v>
      </c>
      <c r="F363" s="14" t="s">
        <v>185</v>
      </c>
      <c r="G363" s="14" t="n">
        <v>10009</v>
      </c>
      <c r="H363" s="14" t="s">
        <v>166</v>
      </c>
      <c r="I363" s="14" t="s">
        <v>137</v>
      </c>
      <c r="J363" s="14" t="s">
        <v>138</v>
      </c>
      <c r="K363" s="15" t="n">
        <v>20.7</v>
      </c>
      <c r="L363" s="14" t="n">
        <v>2</v>
      </c>
      <c r="M363" s="16" t="n">
        <v>0</v>
      </c>
      <c r="N363" s="15" t="n">
        <v>9.936</v>
      </c>
      <c r="O363" s="17" t="str">
        <f aca="false">UPPER(LEFT(F363,3))&amp;"-"&amp;G363</f>
        <v>NEW-10009</v>
      </c>
      <c r="P363" s="17" t="str">
        <f aca="false">PROPER(TRIM(E363))</f>
        <v>New York City</v>
      </c>
      <c r="Q363" s="17" t="str">
        <f aca="false">IFERROR(VLOOKUP(F363,Lookups!$A$2:$B$50,2,FALSE()),"Not found")</f>
        <v>East</v>
      </c>
      <c r="R363" s="17" t="str">
        <f aca="false">IF(Q363=H363,"Match","Mismatch")</f>
        <v>Match</v>
      </c>
      <c r="S363" s="17" t="str">
        <f aca="false">IFERROR(INDEX(SubCatCat,MATCH(J363,SubCatName,0)),"Not found")</f>
        <v>Office Supplies</v>
      </c>
      <c r="T363" s="18" t="n">
        <f aca="false">IF(K363=0,0,N363/K363)</f>
        <v>0.48</v>
      </c>
      <c r="U363" s="17" t="str">
        <f aca="false">IF(N363&lt;0,"Loss",IF(T363&gt;=0.2,"High margin","Normal"))</f>
        <v>High margin</v>
      </c>
      <c r="V363" s="17" t="str">
        <f aca="false">IF(M363=0,"No discount",IF(M363&lt;=0.2,"Low",IF(M363&lt;=0.4,"Medium","High")))</f>
        <v>No discount</v>
      </c>
      <c r="W363" s="17" t="str">
        <f aca="false">IF(OR(B363="Same Day",B363="First Class"),"Fast","Standard")</f>
        <v>Standard</v>
      </c>
      <c r="X363" s="19" t="n">
        <f aca="false">ROUND(K363/L363,2)</f>
        <v>10.35</v>
      </c>
    </row>
    <row r="364" customFormat="false" ht="15" hidden="false" customHeight="false" outlineLevel="0" collapsed="false">
      <c r="A364" s="14" t="n">
        <v>363</v>
      </c>
      <c r="B364" s="14" t="s">
        <v>139</v>
      </c>
      <c r="C364" s="14" t="s">
        <v>7</v>
      </c>
      <c r="D364" s="14" t="s">
        <v>128</v>
      </c>
      <c r="E364" s="14" t="s">
        <v>184</v>
      </c>
      <c r="F364" s="14" t="s">
        <v>185</v>
      </c>
      <c r="G364" s="14" t="n">
        <v>10009</v>
      </c>
      <c r="H364" s="14" t="s">
        <v>166</v>
      </c>
      <c r="I364" s="14" t="s">
        <v>132</v>
      </c>
      <c r="J364" s="14" t="s">
        <v>134</v>
      </c>
      <c r="K364" s="15" t="n">
        <v>488.646</v>
      </c>
      <c r="L364" s="14" t="n">
        <v>3</v>
      </c>
      <c r="M364" s="16" t="n">
        <v>0.1</v>
      </c>
      <c r="N364" s="15" t="n">
        <v>86.8704</v>
      </c>
      <c r="O364" s="17" t="str">
        <f aca="false">UPPER(LEFT(F364,3))&amp;"-"&amp;G364</f>
        <v>NEW-10009</v>
      </c>
      <c r="P364" s="17" t="str">
        <f aca="false">PROPER(TRIM(E364))</f>
        <v>New York City</v>
      </c>
      <c r="Q364" s="17" t="str">
        <f aca="false">IFERROR(VLOOKUP(F364,Lookups!$A$2:$B$50,2,FALSE()),"Not found")</f>
        <v>East</v>
      </c>
      <c r="R364" s="17" t="str">
        <f aca="false">IF(Q364=H364,"Match","Mismatch")</f>
        <v>Match</v>
      </c>
      <c r="S364" s="17" t="str">
        <f aca="false">IFERROR(INDEX(SubCatCat,MATCH(J364,SubCatName,0)),"Not found")</f>
        <v>Furniture</v>
      </c>
      <c r="T364" s="18" t="n">
        <f aca="false">IF(K364=0,0,N364/K364)</f>
        <v>0.177777777777778</v>
      </c>
      <c r="U364" s="17" t="str">
        <f aca="false">IF(N364&lt;0,"Loss",IF(T364&gt;=0.2,"High margin","Normal"))</f>
        <v>Normal</v>
      </c>
      <c r="V364" s="17" t="str">
        <f aca="false">IF(M364=0,"No discount",IF(M364&lt;=0.2,"Low",IF(M364&lt;=0.4,"Medium","High")))</f>
        <v>Low</v>
      </c>
      <c r="W364" s="17" t="str">
        <f aca="false">IF(OR(B364="Same Day",B364="First Class"),"Fast","Standard")</f>
        <v>Standard</v>
      </c>
      <c r="X364" s="19" t="n">
        <f aca="false">ROUND(K364/L364,2)</f>
        <v>162.88</v>
      </c>
    </row>
    <row r="365" customFormat="false" ht="15" hidden="false" customHeight="false" outlineLevel="0" collapsed="false">
      <c r="A365" s="14" t="n">
        <v>364</v>
      </c>
      <c r="B365" s="14" t="s">
        <v>139</v>
      </c>
      <c r="C365" s="14" t="s">
        <v>7</v>
      </c>
      <c r="D365" s="14" t="s">
        <v>128</v>
      </c>
      <c r="E365" s="14" t="s">
        <v>184</v>
      </c>
      <c r="F365" s="14" t="s">
        <v>185</v>
      </c>
      <c r="G365" s="14" t="n">
        <v>10009</v>
      </c>
      <c r="H365" s="14" t="s">
        <v>166</v>
      </c>
      <c r="I365" s="14" t="s">
        <v>137</v>
      </c>
      <c r="J365" s="14" t="s">
        <v>145</v>
      </c>
      <c r="K365" s="15" t="n">
        <v>5.56</v>
      </c>
      <c r="L365" s="14" t="n">
        <v>2</v>
      </c>
      <c r="M365" s="16" t="n">
        <v>0</v>
      </c>
      <c r="N365" s="15" t="n">
        <v>1.4456</v>
      </c>
      <c r="O365" s="17" t="str">
        <f aca="false">UPPER(LEFT(F365,3))&amp;"-"&amp;G365</f>
        <v>NEW-10009</v>
      </c>
      <c r="P365" s="17" t="str">
        <f aca="false">PROPER(TRIM(E365))</f>
        <v>New York City</v>
      </c>
      <c r="Q365" s="17" t="str">
        <f aca="false">IFERROR(VLOOKUP(F365,Lookups!$A$2:$B$50,2,FALSE()),"Not found")</f>
        <v>East</v>
      </c>
      <c r="R365" s="17" t="str">
        <f aca="false">IF(Q365=H365,"Match","Mismatch")</f>
        <v>Match</v>
      </c>
      <c r="S365" s="17" t="str">
        <f aca="false">IFERROR(INDEX(SubCatCat,MATCH(J365,SubCatName,0)),"Not found")</f>
        <v>Office Supplies</v>
      </c>
      <c r="T365" s="18" t="n">
        <f aca="false">IF(K365=0,0,N365/K365)</f>
        <v>0.26</v>
      </c>
      <c r="U365" s="17" t="str">
        <f aca="false">IF(N365&lt;0,"Loss",IF(T365&gt;=0.2,"High margin","Normal"))</f>
        <v>High margin</v>
      </c>
      <c r="V365" s="17" t="str">
        <f aca="false">IF(M365=0,"No discount",IF(M365&lt;=0.2,"Low",IF(M365&lt;=0.4,"Medium","High")))</f>
        <v>No discount</v>
      </c>
      <c r="W365" s="17" t="str">
        <f aca="false">IF(OR(B365="Same Day",B365="First Class"),"Fast","Standard")</f>
        <v>Standard</v>
      </c>
      <c r="X365" s="19" t="n">
        <f aca="false">ROUND(K365/L365,2)</f>
        <v>2.78</v>
      </c>
    </row>
    <row r="366" customFormat="false" ht="15" hidden="false" customHeight="false" outlineLevel="0" collapsed="false">
      <c r="A366" s="14" t="n">
        <v>365</v>
      </c>
      <c r="B366" s="14" t="s">
        <v>139</v>
      </c>
      <c r="C366" s="14" t="s">
        <v>7</v>
      </c>
      <c r="D366" s="14" t="s">
        <v>128</v>
      </c>
      <c r="E366" s="14" t="s">
        <v>184</v>
      </c>
      <c r="F366" s="14" t="s">
        <v>185</v>
      </c>
      <c r="G366" s="14" t="n">
        <v>10009</v>
      </c>
      <c r="H366" s="14" t="s">
        <v>166</v>
      </c>
      <c r="I366" s="14" t="s">
        <v>132</v>
      </c>
      <c r="J366" s="14" t="s">
        <v>144</v>
      </c>
      <c r="K366" s="15" t="n">
        <v>47.12</v>
      </c>
      <c r="L366" s="14" t="n">
        <v>8</v>
      </c>
      <c r="M366" s="16" t="n">
        <v>0</v>
      </c>
      <c r="N366" s="15" t="n">
        <v>20.7328</v>
      </c>
      <c r="O366" s="17" t="str">
        <f aca="false">UPPER(LEFT(F366,3))&amp;"-"&amp;G366</f>
        <v>NEW-10009</v>
      </c>
      <c r="P366" s="17" t="str">
        <f aca="false">PROPER(TRIM(E366))</f>
        <v>New York City</v>
      </c>
      <c r="Q366" s="17" t="str">
        <f aca="false">IFERROR(VLOOKUP(F366,Lookups!$A$2:$B$50,2,FALSE()),"Not found")</f>
        <v>East</v>
      </c>
      <c r="R366" s="17" t="str">
        <f aca="false">IF(Q366=H366,"Match","Mismatch")</f>
        <v>Match</v>
      </c>
      <c r="S366" s="17" t="str">
        <f aca="false">IFERROR(INDEX(SubCatCat,MATCH(J366,SubCatName,0)),"Not found")</f>
        <v>Furniture</v>
      </c>
      <c r="T366" s="18" t="n">
        <f aca="false">IF(K366=0,0,N366/K366)</f>
        <v>0.44</v>
      </c>
      <c r="U366" s="17" t="str">
        <f aca="false">IF(N366&lt;0,"Loss",IF(T366&gt;=0.2,"High margin","Normal"))</f>
        <v>High margin</v>
      </c>
      <c r="V366" s="17" t="str">
        <f aca="false">IF(M366=0,"No discount",IF(M366&lt;=0.2,"Low",IF(M366&lt;=0.4,"Medium","High")))</f>
        <v>No discount</v>
      </c>
      <c r="W366" s="17" t="str">
        <f aca="false">IF(OR(B366="Same Day",B366="First Class"),"Fast","Standard")</f>
        <v>Standard</v>
      </c>
      <c r="X366" s="19" t="n">
        <f aca="false">ROUND(K366/L366,2)</f>
        <v>5.89</v>
      </c>
    </row>
    <row r="367" customFormat="false" ht="15" hidden="false" customHeight="false" outlineLevel="0" collapsed="false">
      <c r="A367" s="14" t="n">
        <v>366</v>
      </c>
      <c r="B367" s="14" t="s">
        <v>139</v>
      </c>
      <c r="C367" s="14" t="s">
        <v>7</v>
      </c>
      <c r="D367" s="14" t="s">
        <v>128</v>
      </c>
      <c r="E367" s="14" t="s">
        <v>161</v>
      </c>
      <c r="F367" s="14" t="s">
        <v>9</v>
      </c>
      <c r="G367" s="14" t="n">
        <v>94109</v>
      </c>
      <c r="H367" s="14" t="s">
        <v>3</v>
      </c>
      <c r="I367" s="14" t="s">
        <v>137</v>
      </c>
      <c r="J367" s="14" t="s">
        <v>143</v>
      </c>
      <c r="K367" s="15" t="n">
        <v>211.96</v>
      </c>
      <c r="L367" s="14" t="n">
        <v>4</v>
      </c>
      <c r="M367" s="16" t="n">
        <v>0</v>
      </c>
      <c r="N367" s="15" t="n">
        <v>8.4784</v>
      </c>
      <c r="O367" s="17" t="str">
        <f aca="false">UPPER(LEFT(F367,3))&amp;"-"&amp;G367</f>
        <v>CAL-94109</v>
      </c>
      <c r="P367" s="17" t="str">
        <f aca="false">PROPER(TRIM(E367))</f>
        <v>San Francisco</v>
      </c>
      <c r="Q367" s="17" t="str">
        <f aca="false">IFERROR(VLOOKUP(F367,Lookups!$A$2:$B$50,2,FALSE()),"Not found")</f>
        <v>West</v>
      </c>
      <c r="R367" s="17" t="str">
        <f aca="false">IF(Q367=H367,"Match","Mismatch")</f>
        <v>Match</v>
      </c>
      <c r="S367" s="17" t="str">
        <f aca="false">IFERROR(INDEX(SubCatCat,MATCH(J367,SubCatName,0)),"Not found")</f>
        <v>Office Supplies</v>
      </c>
      <c r="T367" s="18" t="n">
        <f aca="false">IF(K367=0,0,N367/K367)</f>
        <v>0.04</v>
      </c>
      <c r="U367" s="17" t="str">
        <f aca="false">IF(N367&lt;0,"Loss",IF(T367&gt;=0.2,"High margin","Normal"))</f>
        <v>Normal</v>
      </c>
      <c r="V367" s="17" t="str">
        <f aca="false">IF(M367=0,"No discount",IF(M367&lt;=0.2,"Low",IF(M367&lt;=0.4,"Medium","High")))</f>
        <v>No discount</v>
      </c>
      <c r="W367" s="17" t="str">
        <f aca="false">IF(OR(B367="Same Day",B367="First Class"),"Fast","Standard")</f>
        <v>Standard</v>
      </c>
      <c r="X367" s="19" t="n">
        <f aca="false">ROUND(K367/L367,2)</f>
        <v>52.99</v>
      </c>
    </row>
    <row r="368" customFormat="false" ht="15" hidden="false" customHeight="false" outlineLevel="0" collapsed="false">
      <c r="A368" s="14" t="n">
        <v>367</v>
      </c>
      <c r="B368" s="14" t="s">
        <v>277</v>
      </c>
      <c r="C368" s="14" t="s">
        <v>135</v>
      </c>
      <c r="D368" s="14" t="s">
        <v>128</v>
      </c>
      <c r="E368" s="14" t="s">
        <v>278</v>
      </c>
      <c r="F368" s="14" t="s">
        <v>236</v>
      </c>
      <c r="G368" s="14" t="n">
        <v>6040</v>
      </c>
      <c r="H368" s="14" t="s">
        <v>166</v>
      </c>
      <c r="I368" s="14" t="s">
        <v>137</v>
      </c>
      <c r="J368" s="14" t="s">
        <v>146</v>
      </c>
      <c r="K368" s="15" t="n">
        <v>23.2</v>
      </c>
      <c r="L368" s="14" t="n">
        <v>4</v>
      </c>
      <c r="M368" s="16" t="n">
        <v>0</v>
      </c>
      <c r="N368" s="15" t="n">
        <v>10.44</v>
      </c>
      <c r="O368" s="17" t="str">
        <f aca="false">UPPER(LEFT(F368,3))&amp;"-"&amp;G368</f>
        <v>CON-6040</v>
      </c>
      <c r="P368" s="17" t="str">
        <f aca="false">PROPER(TRIM(E368))</f>
        <v>Manchester</v>
      </c>
      <c r="Q368" s="17" t="str">
        <f aca="false">IFERROR(VLOOKUP(F368,Lookups!$A$2:$B$50,2,FALSE()),"Not found")</f>
        <v>East</v>
      </c>
      <c r="R368" s="17" t="str">
        <f aca="false">IF(Q368=H368,"Match","Mismatch")</f>
        <v>Match</v>
      </c>
      <c r="S368" s="17" t="str">
        <f aca="false">IFERROR(INDEX(SubCatCat,MATCH(J368,SubCatName,0)),"Not found")</f>
        <v>Office Supplies</v>
      </c>
      <c r="T368" s="18" t="n">
        <f aca="false">IF(K368=0,0,N368/K368)</f>
        <v>0.45</v>
      </c>
      <c r="U368" s="17" t="str">
        <f aca="false">IF(N368&lt;0,"Loss",IF(T368&gt;=0.2,"High margin","Normal"))</f>
        <v>High margin</v>
      </c>
      <c r="V368" s="17" t="str">
        <f aca="false">IF(M368=0,"No discount",IF(M368&lt;=0.2,"Low",IF(M368&lt;=0.4,"Medium","High")))</f>
        <v>No discount</v>
      </c>
      <c r="W368" s="17" t="str">
        <f aca="false">IF(OR(B368="Same Day",B368="First Class"),"Fast","Standard")</f>
        <v>Fast</v>
      </c>
      <c r="X368" s="19" t="n">
        <f aca="false">ROUND(K368/L368,2)</f>
        <v>5.8</v>
      </c>
    </row>
    <row r="369" customFormat="false" ht="15" hidden="false" customHeight="false" outlineLevel="0" collapsed="false">
      <c r="A369" s="14" t="n">
        <v>368</v>
      </c>
      <c r="B369" s="14" t="s">
        <v>277</v>
      </c>
      <c r="C369" s="14" t="s">
        <v>135</v>
      </c>
      <c r="D369" s="14" t="s">
        <v>128</v>
      </c>
      <c r="E369" s="14" t="s">
        <v>278</v>
      </c>
      <c r="F369" s="14" t="s">
        <v>236</v>
      </c>
      <c r="G369" s="14" t="n">
        <v>6040</v>
      </c>
      <c r="H369" s="14" t="s">
        <v>166</v>
      </c>
      <c r="I369" s="14" t="s">
        <v>137</v>
      </c>
      <c r="J369" s="14" t="s">
        <v>219</v>
      </c>
      <c r="K369" s="15" t="n">
        <v>7.36</v>
      </c>
      <c r="L369" s="14" t="n">
        <v>2</v>
      </c>
      <c r="M369" s="16" t="n">
        <v>0</v>
      </c>
      <c r="N369" s="15" t="n">
        <v>0.1472</v>
      </c>
      <c r="O369" s="17" t="str">
        <f aca="false">UPPER(LEFT(F369,3))&amp;"-"&amp;G369</f>
        <v>CON-6040</v>
      </c>
      <c r="P369" s="17" t="str">
        <f aca="false">PROPER(TRIM(E369))</f>
        <v>Manchester</v>
      </c>
      <c r="Q369" s="17" t="str">
        <f aca="false">IFERROR(VLOOKUP(F369,Lookups!$A$2:$B$50,2,FALSE()),"Not found")</f>
        <v>East</v>
      </c>
      <c r="R369" s="17" t="str">
        <f aca="false">IF(Q369=H369,"Match","Mismatch")</f>
        <v>Match</v>
      </c>
      <c r="S369" s="17" t="str">
        <f aca="false">IFERROR(INDEX(SubCatCat,MATCH(J369,SubCatName,0)),"Not found")</f>
        <v>Office Supplies</v>
      </c>
      <c r="T369" s="18" t="n">
        <f aca="false">IF(K369=0,0,N369/K369)</f>
        <v>0.02</v>
      </c>
      <c r="U369" s="17" t="str">
        <f aca="false">IF(N369&lt;0,"Loss",IF(T369&gt;=0.2,"High margin","Normal"))</f>
        <v>Normal</v>
      </c>
      <c r="V369" s="17" t="str">
        <f aca="false">IF(M369=0,"No discount",IF(M369&lt;=0.2,"Low",IF(M369&lt;=0.4,"Medium","High")))</f>
        <v>No discount</v>
      </c>
      <c r="W369" s="17" t="str">
        <f aca="false">IF(OR(B369="Same Day",B369="First Class"),"Fast","Standard")</f>
        <v>Fast</v>
      </c>
      <c r="X369" s="19" t="n">
        <f aca="false">ROUND(K369/L369,2)</f>
        <v>3.68</v>
      </c>
    </row>
    <row r="370" customFormat="false" ht="15" hidden="false" customHeight="false" outlineLevel="0" collapsed="false">
      <c r="A370" s="14" t="n">
        <v>369</v>
      </c>
      <c r="B370" s="14" t="s">
        <v>277</v>
      </c>
      <c r="C370" s="14" t="s">
        <v>135</v>
      </c>
      <c r="D370" s="14" t="s">
        <v>128</v>
      </c>
      <c r="E370" s="14" t="s">
        <v>278</v>
      </c>
      <c r="F370" s="14" t="s">
        <v>236</v>
      </c>
      <c r="G370" s="14" t="n">
        <v>6040</v>
      </c>
      <c r="H370" s="14" t="s">
        <v>166</v>
      </c>
      <c r="I370" s="14" t="s">
        <v>137</v>
      </c>
      <c r="J370" s="14" t="s">
        <v>143</v>
      </c>
      <c r="K370" s="15" t="n">
        <v>104.79</v>
      </c>
      <c r="L370" s="14" t="n">
        <v>7</v>
      </c>
      <c r="M370" s="16" t="n">
        <v>0</v>
      </c>
      <c r="N370" s="15" t="n">
        <v>29.3412</v>
      </c>
      <c r="O370" s="17" t="str">
        <f aca="false">UPPER(LEFT(F370,3))&amp;"-"&amp;G370</f>
        <v>CON-6040</v>
      </c>
      <c r="P370" s="17" t="str">
        <f aca="false">PROPER(TRIM(E370))</f>
        <v>Manchester</v>
      </c>
      <c r="Q370" s="17" t="str">
        <f aca="false">IFERROR(VLOOKUP(F370,Lookups!$A$2:$B$50,2,FALSE()),"Not found")</f>
        <v>East</v>
      </c>
      <c r="R370" s="17" t="str">
        <f aca="false">IF(Q370=H370,"Match","Mismatch")</f>
        <v>Match</v>
      </c>
      <c r="S370" s="17" t="str">
        <f aca="false">IFERROR(INDEX(SubCatCat,MATCH(J370,SubCatName,0)),"Not found")</f>
        <v>Office Supplies</v>
      </c>
      <c r="T370" s="18" t="n">
        <f aca="false">IF(K370=0,0,N370/K370)</f>
        <v>0.28</v>
      </c>
      <c r="U370" s="17" t="str">
        <f aca="false">IF(N370&lt;0,"Loss",IF(T370&gt;=0.2,"High margin","Normal"))</f>
        <v>High margin</v>
      </c>
      <c r="V370" s="17" t="str">
        <f aca="false">IF(M370=0,"No discount",IF(M370&lt;=0.2,"Low",IF(M370&lt;=0.4,"Medium","High")))</f>
        <v>No discount</v>
      </c>
      <c r="W370" s="17" t="str">
        <f aca="false">IF(OR(B370="Same Day",B370="First Class"),"Fast","Standard")</f>
        <v>Fast</v>
      </c>
      <c r="X370" s="19" t="n">
        <f aca="false">ROUND(K370/L370,2)</f>
        <v>14.97</v>
      </c>
    </row>
    <row r="371" customFormat="false" ht="15" hidden="false" customHeight="false" outlineLevel="0" collapsed="false">
      <c r="A371" s="14" t="n">
        <v>370</v>
      </c>
      <c r="B371" s="14" t="s">
        <v>277</v>
      </c>
      <c r="C371" s="14" t="s">
        <v>135</v>
      </c>
      <c r="D371" s="14" t="s">
        <v>128</v>
      </c>
      <c r="E371" s="14" t="s">
        <v>278</v>
      </c>
      <c r="F371" s="14" t="s">
        <v>236</v>
      </c>
      <c r="G371" s="14" t="n">
        <v>6040</v>
      </c>
      <c r="H371" s="14" t="s">
        <v>166</v>
      </c>
      <c r="I371" s="14" t="s">
        <v>132</v>
      </c>
      <c r="J371" s="14" t="s">
        <v>133</v>
      </c>
      <c r="K371" s="15" t="n">
        <v>1043.92</v>
      </c>
      <c r="L371" s="14" t="n">
        <v>4</v>
      </c>
      <c r="M371" s="16" t="n">
        <v>0</v>
      </c>
      <c r="N371" s="15" t="n">
        <v>271.4192</v>
      </c>
      <c r="O371" s="17" t="str">
        <f aca="false">UPPER(LEFT(F371,3))&amp;"-"&amp;G371</f>
        <v>CON-6040</v>
      </c>
      <c r="P371" s="17" t="str">
        <f aca="false">PROPER(TRIM(E371))</f>
        <v>Manchester</v>
      </c>
      <c r="Q371" s="17" t="str">
        <f aca="false">IFERROR(VLOOKUP(F371,Lookups!$A$2:$B$50,2,FALSE()),"Not found")</f>
        <v>East</v>
      </c>
      <c r="R371" s="17" t="str">
        <f aca="false">IF(Q371=H371,"Match","Mismatch")</f>
        <v>Match</v>
      </c>
      <c r="S371" s="17" t="str">
        <f aca="false">IFERROR(INDEX(SubCatCat,MATCH(J371,SubCatName,0)),"Not found")</f>
        <v>Furniture</v>
      </c>
      <c r="T371" s="18" t="n">
        <f aca="false">IF(K371=0,0,N371/K371)</f>
        <v>0.26</v>
      </c>
      <c r="U371" s="17" t="str">
        <f aca="false">IF(N371&lt;0,"Loss",IF(T371&gt;=0.2,"High margin","Normal"))</f>
        <v>High margin</v>
      </c>
      <c r="V371" s="17" t="str">
        <f aca="false">IF(M371=0,"No discount",IF(M371&lt;=0.2,"Low",IF(M371&lt;=0.4,"Medium","High")))</f>
        <v>No discount</v>
      </c>
      <c r="W371" s="17" t="str">
        <f aca="false">IF(OR(B371="Same Day",B371="First Class"),"Fast","Standard")</f>
        <v>Fast</v>
      </c>
      <c r="X371" s="19" t="n">
        <f aca="false">ROUND(K371/L371,2)</f>
        <v>260.98</v>
      </c>
    </row>
    <row r="372" customFormat="false" ht="15" hidden="false" customHeight="false" outlineLevel="0" collapsed="false">
      <c r="A372" s="14" t="n">
        <v>371</v>
      </c>
      <c r="B372" s="14" t="s">
        <v>139</v>
      </c>
      <c r="C372" s="14" t="s">
        <v>7</v>
      </c>
      <c r="D372" s="14" t="s">
        <v>128</v>
      </c>
      <c r="E372" s="14" t="s">
        <v>279</v>
      </c>
      <c r="F372" s="14" t="s">
        <v>155</v>
      </c>
      <c r="G372" s="14" t="n">
        <v>78550</v>
      </c>
      <c r="H372" s="14" t="s">
        <v>156</v>
      </c>
      <c r="I372" s="14" t="s">
        <v>137</v>
      </c>
      <c r="J372" s="14" t="s">
        <v>150</v>
      </c>
      <c r="K372" s="15" t="n">
        <v>25.92</v>
      </c>
      <c r="L372" s="14" t="n">
        <v>5</v>
      </c>
      <c r="M372" s="16" t="n">
        <v>0.2</v>
      </c>
      <c r="N372" s="15" t="n">
        <v>9.396</v>
      </c>
      <c r="O372" s="17" t="str">
        <f aca="false">UPPER(LEFT(F372,3))&amp;"-"&amp;G372</f>
        <v>TEX-78550</v>
      </c>
      <c r="P372" s="17" t="str">
        <f aca="false">PROPER(TRIM(E372))</f>
        <v>Harlingen</v>
      </c>
      <c r="Q372" s="17" t="str">
        <f aca="false">IFERROR(VLOOKUP(F372,Lookups!$A$2:$B$50,2,FALSE()),"Not found")</f>
        <v>Central</v>
      </c>
      <c r="R372" s="17" t="str">
        <f aca="false">IF(Q372=H372,"Match","Mismatch")</f>
        <v>Match</v>
      </c>
      <c r="S372" s="17" t="str">
        <f aca="false">IFERROR(INDEX(SubCatCat,MATCH(J372,SubCatName,0)),"Not found")</f>
        <v>Office Supplies</v>
      </c>
      <c r="T372" s="18" t="n">
        <f aca="false">IF(K372=0,0,N372/K372)</f>
        <v>0.3625</v>
      </c>
      <c r="U372" s="17" t="str">
        <f aca="false">IF(N372&lt;0,"Loss",IF(T372&gt;=0.2,"High margin","Normal"))</f>
        <v>High margin</v>
      </c>
      <c r="V372" s="17" t="str">
        <f aca="false">IF(M372=0,"No discount",IF(M372&lt;=0.2,"Low",IF(M372&lt;=0.4,"Medium","High")))</f>
        <v>Low</v>
      </c>
      <c r="W372" s="17" t="str">
        <f aca="false">IF(OR(B372="Same Day",B372="First Class"),"Fast","Standard")</f>
        <v>Standard</v>
      </c>
      <c r="X372" s="19" t="n">
        <f aca="false">ROUND(K372/L372,2)</f>
        <v>5.18</v>
      </c>
    </row>
    <row r="373" customFormat="false" ht="15" hidden="false" customHeight="false" outlineLevel="0" collapsed="false">
      <c r="A373" s="14" t="n">
        <v>372</v>
      </c>
      <c r="B373" s="14" t="s">
        <v>139</v>
      </c>
      <c r="C373" s="14" t="s">
        <v>7</v>
      </c>
      <c r="D373" s="14" t="s">
        <v>128</v>
      </c>
      <c r="E373" s="14" t="s">
        <v>279</v>
      </c>
      <c r="F373" s="14" t="s">
        <v>155</v>
      </c>
      <c r="G373" s="14" t="n">
        <v>78550</v>
      </c>
      <c r="H373" s="14" t="s">
        <v>156</v>
      </c>
      <c r="I373" s="14" t="s">
        <v>137</v>
      </c>
      <c r="J373" s="14" t="s">
        <v>143</v>
      </c>
      <c r="K373" s="15" t="n">
        <v>53.424</v>
      </c>
      <c r="L373" s="14" t="n">
        <v>3</v>
      </c>
      <c r="M373" s="16" t="n">
        <v>0.2</v>
      </c>
      <c r="N373" s="15" t="n">
        <v>4.6746</v>
      </c>
      <c r="O373" s="17" t="str">
        <f aca="false">UPPER(LEFT(F373,3))&amp;"-"&amp;G373</f>
        <v>TEX-78550</v>
      </c>
      <c r="P373" s="17" t="str">
        <f aca="false">PROPER(TRIM(E373))</f>
        <v>Harlingen</v>
      </c>
      <c r="Q373" s="17" t="str">
        <f aca="false">IFERROR(VLOOKUP(F373,Lookups!$A$2:$B$50,2,FALSE()),"Not found")</f>
        <v>Central</v>
      </c>
      <c r="R373" s="17" t="str">
        <f aca="false">IF(Q373=H373,"Match","Mismatch")</f>
        <v>Match</v>
      </c>
      <c r="S373" s="17" t="str">
        <f aca="false">IFERROR(INDEX(SubCatCat,MATCH(J373,SubCatName,0)),"Not found")</f>
        <v>Office Supplies</v>
      </c>
      <c r="T373" s="18" t="n">
        <f aca="false">IF(K373=0,0,N373/K373)</f>
        <v>0.0875</v>
      </c>
      <c r="U373" s="17" t="str">
        <f aca="false">IF(N373&lt;0,"Loss",IF(T373&gt;=0.2,"High margin","Normal"))</f>
        <v>Normal</v>
      </c>
      <c r="V373" s="17" t="str">
        <f aca="false">IF(M373=0,"No discount",IF(M373&lt;=0.2,"Low",IF(M373&lt;=0.4,"Medium","High")))</f>
        <v>Low</v>
      </c>
      <c r="W373" s="17" t="str">
        <f aca="false">IF(OR(B373="Same Day",B373="First Class"),"Fast","Standard")</f>
        <v>Standard</v>
      </c>
      <c r="X373" s="19" t="n">
        <f aca="false">ROUND(K373/L373,2)</f>
        <v>17.81</v>
      </c>
    </row>
    <row r="374" customFormat="false" ht="15" hidden="false" customHeight="false" outlineLevel="0" collapsed="false">
      <c r="A374" s="14" t="n">
        <v>373</v>
      </c>
      <c r="B374" s="14" t="s">
        <v>139</v>
      </c>
      <c r="C374" s="14" t="s">
        <v>7</v>
      </c>
      <c r="D374" s="14" t="s">
        <v>128</v>
      </c>
      <c r="E374" s="14" t="s">
        <v>280</v>
      </c>
      <c r="F374" s="14" t="s">
        <v>190</v>
      </c>
      <c r="G374" s="14" t="n">
        <v>85705</v>
      </c>
      <c r="H374" s="14" t="s">
        <v>3</v>
      </c>
      <c r="I374" s="14" t="s">
        <v>137</v>
      </c>
      <c r="J374" s="14" t="s">
        <v>146</v>
      </c>
      <c r="K374" s="15" t="n">
        <v>8.16</v>
      </c>
      <c r="L374" s="14" t="n">
        <v>5</v>
      </c>
      <c r="M374" s="16" t="n">
        <v>0.7</v>
      </c>
      <c r="N374" s="15" t="n">
        <v>-5.712</v>
      </c>
      <c r="O374" s="17" t="str">
        <f aca="false">UPPER(LEFT(F374,3))&amp;"-"&amp;G374</f>
        <v>ARI-85705</v>
      </c>
      <c r="P374" s="17" t="str">
        <f aca="false">PROPER(TRIM(E374))</f>
        <v>Tucson</v>
      </c>
      <c r="Q374" s="17" t="str">
        <f aca="false">IFERROR(VLOOKUP(F374,Lookups!$A$2:$B$50,2,FALSE()),"Not found")</f>
        <v>West</v>
      </c>
      <c r="R374" s="17" t="str">
        <f aca="false">IF(Q374=H374,"Match","Mismatch")</f>
        <v>Match</v>
      </c>
      <c r="S374" s="17" t="str">
        <f aca="false">IFERROR(INDEX(SubCatCat,MATCH(J374,SubCatName,0)),"Not found")</f>
        <v>Office Supplies</v>
      </c>
      <c r="T374" s="18" t="n">
        <f aca="false">IF(K374=0,0,N374/K374)</f>
        <v>-0.7</v>
      </c>
      <c r="U374" s="17" t="str">
        <f aca="false">IF(N374&lt;0,"Loss",IF(T374&gt;=0.2,"High margin","Normal"))</f>
        <v>Loss</v>
      </c>
      <c r="V374" s="17" t="str">
        <f aca="false">IF(M374=0,"No discount",IF(M374&lt;=0.2,"Low",IF(M374&lt;=0.4,"Medium","High")))</f>
        <v>High</v>
      </c>
      <c r="W374" s="17" t="str">
        <f aca="false">IF(OR(B374="Same Day",B374="First Class"),"Fast","Standard")</f>
        <v>Standard</v>
      </c>
      <c r="X374" s="19" t="n">
        <f aca="false">ROUND(K374/L374,2)</f>
        <v>1.63</v>
      </c>
    </row>
    <row r="375" customFormat="false" ht="15" hidden="false" customHeight="false" outlineLevel="0" collapsed="false">
      <c r="A375" s="14" t="n">
        <v>374</v>
      </c>
      <c r="B375" s="14" t="s">
        <v>139</v>
      </c>
      <c r="C375" s="14" t="s">
        <v>7</v>
      </c>
      <c r="D375" s="14" t="s">
        <v>128</v>
      </c>
      <c r="E375" s="14" t="s">
        <v>280</v>
      </c>
      <c r="F375" s="14" t="s">
        <v>190</v>
      </c>
      <c r="G375" s="14" t="n">
        <v>85705</v>
      </c>
      <c r="H375" s="14" t="s">
        <v>3</v>
      </c>
      <c r="I375" s="14" t="s">
        <v>5</v>
      </c>
      <c r="J375" s="14" t="s">
        <v>168</v>
      </c>
      <c r="K375" s="15" t="n">
        <v>1023.936</v>
      </c>
      <c r="L375" s="14" t="n">
        <v>8</v>
      </c>
      <c r="M375" s="16" t="n">
        <v>0.2</v>
      </c>
      <c r="N375" s="15" t="n">
        <v>179.1888</v>
      </c>
      <c r="O375" s="17" t="str">
        <f aca="false">UPPER(LEFT(F375,3))&amp;"-"&amp;G375</f>
        <v>ARI-85705</v>
      </c>
      <c r="P375" s="17" t="str">
        <f aca="false">PROPER(TRIM(E375))</f>
        <v>Tucson</v>
      </c>
      <c r="Q375" s="17" t="str">
        <f aca="false">IFERROR(VLOOKUP(F375,Lookups!$A$2:$B$50,2,FALSE()),"Not found")</f>
        <v>West</v>
      </c>
      <c r="R375" s="17" t="str">
        <f aca="false">IF(Q375=H375,"Match","Mismatch")</f>
        <v>Match</v>
      </c>
      <c r="S375" s="17" t="str">
        <f aca="false">IFERROR(INDEX(SubCatCat,MATCH(J375,SubCatName,0)),"Not found")</f>
        <v>Technology</v>
      </c>
      <c r="T375" s="18" t="n">
        <f aca="false">IF(K375=0,0,N375/K375)</f>
        <v>0.175</v>
      </c>
      <c r="U375" s="17" t="str">
        <f aca="false">IF(N375&lt;0,"Loss",IF(T375&gt;=0.2,"High margin","Normal"))</f>
        <v>Normal</v>
      </c>
      <c r="V375" s="17" t="str">
        <f aca="false">IF(M375=0,"No discount",IF(M375&lt;=0.2,"Low",IF(M375&lt;=0.4,"Medium","High")))</f>
        <v>Low</v>
      </c>
      <c r="W375" s="17" t="str">
        <f aca="false">IF(OR(B375="Same Day",B375="First Class"),"Fast","Standard")</f>
        <v>Standard</v>
      </c>
      <c r="X375" s="19" t="n">
        <f aca="false">ROUND(K375/L375,2)</f>
        <v>127.99</v>
      </c>
    </row>
    <row r="376" customFormat="false" ht="15" hidden="false" customHeight="false" outlineLevel="0" collapsed="false">
      <c r="A376" s="14" t="n">
        <v>375</v>
      </c>
      <c r="B376" s="14" t="s">
        <v>139</v>
      </c>
      <c r="C376" s="14" t="s">
        <v>7</v>
      </c>
      <c r="D376" s="14" t="s">
        <v>128</v>
      </c>
      <c r="E376" s="14" t="s">
        <v>280</v>
      </c>
      <c r="F376" s="14" t="s">
        <v>190</v>
      </c>
      <c r="G376" s="14" t="n">
        <v>85705</v>
      </c>
      <c r="H376" s="14" t="s">
        <v>3</v>
      </c>
      <c r="I376" s="14" t="s">
        <v>137</v>
      </c>
      <c r="J376" s="14" t="s">
        <v>145</v>
      </c>
      <c r="K376" s="15" t="n">
        <v>9.24</v>
      </c>
      <c r="L376" s="14" t="n">
        <v>1</v>
      </c>
      <c r="M376" s="16" t="n">
        <v>0.2</v>
      </c>
      <c r="N376" s="15" t="n">
        <v>0.924</v>
      </c>
      <c r="O376" s="17" t="str">
        <f aca="false">UPPER(LEFT(F376,3))&amp;"-"&amp;G376</f>
        <v>ARI-85705</v>
      </c>
      <c r="P376" s="17" t="str">
        <f aca="false">PROPER(TRIM(E376))</f>
        <v>Tucson</v>
      </c>
      <c r="Q376" s="17" t="str">
        <f aca="false">IFERROR(VLOOKUP(F376,Lookups!$A$2:$B$50,2,FALSE()),"Not found")</f>
        <v>West</v>
      </c>
      <c r="R376" s="17" t="str">
        <f aca="false">IF(Q376=H376,"Match","Mismatch")</f>
        <v>Match</v>
      </c>
      <c r="S376" s="17" t="str">
        <f aca="false">IFERROR(INDEX(SubCatCat,MATCH(J376,SubCatName,0)),"Not found")</f>
        <v>Office Supplies</v>
      </c>
      <c r="T376" s="18" t="n">
        <f aca="false">IF(K376=0,0,N376/K376)</f>
        <v>0.1</v>
      </c>
      <c r="U376" s="17" t="str">
        <f aca="false">IF(N376&lt;0,"Loss",IF(T376&gt;=0.2,"High margin","Normal"))</f>
        <v>Normal</v>
      </c>
      <c r="V376" s="17" t="str">
        <f aca="false">IF(M376=0,"No discount",IF(M376&lt;=0.2,"Low",IF(M376&lt;=0.4,"Medium","High")))</f>
        <v>Low</v>
      </c>
      <c r="W376" s="17" t="str">
        <f aca="false">IF(OR(B376="Same Day",B376="First Class"),"Fast","Standard")</f>
        <v>Standard</v>
      </c>
      <c r="X376" s="19" t="n">
        <f aca="false">ROUND(K376/L376,2)</f>
        <v>9.24</v>
      </c>
    </row>
    <row r="377" customFormat="false" ht="15" hidden="false" customHeight="false" outlineLevel="0" collapsed="false">
      <c r="A377" s="14" t="n">
        <v>376</v>
      </c>
      <c r="B377" s="14" t="s">
        <v>139</v>
      </c>
      <c r="C377" s="14" t="s">
        <v>7</v>
      </c>
      <c r="D377" s="14" t="s">
        <v>128</v>
      </c>
      <c r="E377" s="14" t="s">
        <v>280</v>
      </c>
      <c r="F377" s="14" t="s">
        <v>190</v>
      </c>
      <c r="G377" s="14" t="n">
        <v>85705</v>
      </c>
      <c r="H377" s="14" t="s">
        <v>3</v>
      </c>
      <c r="I377" s="14" t="s">
        <v>5</v>
      </c>
      <c r="J377" s="14" t="s">
        <v>168</v>
      </c>
      <c r="K377" s="15" t="n">
        <v>479.04</v>
      </c>
      <c r="L377" s="14" t="n">
        <v>10</v>
      </c>
      <c r="M377" s="16" t="n">
        <v>0.2</v>
      </c>
      <c r="N377" s="15" t="n">
        <v>-29.94</v>
      </c>
      <c r="O377" s="17" t="str">
        <f aca="false">UPPER(LEFT(F377,3))&amp;"-"&amp;G377</f>
        <v>ARI-85705</v>
      </c>
      <c r="P377" s="17" t="str">
        <f aca="false">PROPER(TRIM(E377))</f>
        <v>Tucson</v>
      </c>
      <c r="Q377" s="17" t="str">
        <f aca="false">IFERROR(VLOOKUP(F377,Lookups!$A$2:$B$50,2,FALSE()),"Not found")</f>
        <v>West</v>
      </c>
      <c r="R377" s="17" t="str">
        <f aca="false">IF(Q377=H377,"Match","Mismatch")</f>
        <v>Match</v>
      </c>
      <c r="S377" s="17" t="str">
        <f aca="false">IFERROR(INDEX(SubCatCat,MATCH(J377,SubCatName,0)),"Not found")</f>
        <v>Technology</v>
      </c>
      <c r="T377" s="18" t="n">
        <f aca="false">IF(K377=0,0,N377/K377)</f>
        <v>-0.0625</v>
      </c>
      <c r="U377" s="17" t="str">
        <f aca="false">IF(N377&lt;0,"Loss",IF(T377&gt;=0.2,"High margin","Normal"))</f>
        <v>Loss</v>
      </c>
      <c r="V377" s="17" t="str">
        <f aca="false">IF(M377=0,"No discount",IF(M377&lt;=0.2,"Low",IF(M377&lt;=0.4,"Medium","High")))</f>
        <v>Low</v>
      </c>
      <c r="W377" s="17" t="str">
        <f aca="false">IF(OR(B377="Same Day",B377="First Class"),"Fast","Standard")</f>
        <v>Standard</v>
      </c>
      <c r="X377" s="19" t="n">
        <f aca="false">ROUND(K377/L377,2)</f>
        <v>47.9</v>
      </c>
    </row>
    <row r="378" customFormat="false" ht="15" hidden="false" customHeight="false" outlineLevel="0" collapsed="false">
      <c r="A378" s="14" t="n">
        <v>377</v>
      </c>
      <c r="B378" s="14" t="s">
        <v>171</v>
      </c>
      <c r="C378" s="14" t="s">
        <v>135</v>
      </c>
      <c r="D378" s="14" t="s">
        <v>128</v>
      </c>
      <c r="E378" s="14" t="s">
        <v>281</v>
      </c>
      <c r="F378" s="14" t="s">
        <v>174</v>
      </c>
      <c r="G378" s="14" t="n">
        <v>62301</v>
      </c>
      <c r="H378" s="14" t="s">
        <v>156</v>
      </c>
      <c r="I378" s="14" t="s">
        <v>137</v>
      </c>
      <c r="J378" s="14" t="s">
        <v>150</v>
      </c>
      <c r="K378" s="15" t="n">
        <v>99.136</v>
      </c>
      <c r="L378" s="14" t="n">
        <v>4</v>
      </c>
      <c r="M378" s="16" t="n">
        <v>0.2</v>
      </c>
      <c r="N378" s="15" t="n">
        <v>30.98</v>
      </c>
      <c r="O378" s="17" t="str">
        <f aca="false">UPPER(LEFT(F378,3))&amp;"-"&amp;G378</f>
        <v>ILL-62301</v>
      </c>
      <c r="P378" s="17" t="str">
        <f aca="false">PROPER(TRIM(E378))</f>
        <v>Quincy</v>
      </c>
      <c r="Q378" s="17" t="str">
        <f aca="false">IFERROR(VLOOKUP(F378,Lookups!$A$2:$B$50,2,FALSE()),"Not found")</f>
        <v>Central</v>
      </c>
      <c r="R378" s="17" t="str">
        <f aca="false">IF(Q378=H378,"Match","Mismatch")</f>
        <v>Match</v>
      </c>
      <c r="S378" s="17" t="str">
        <f aca="false">IFERROR(INDEX(SubCatCat,MATCH(J378,SubCatName,0)),"Not found")</f>
        <v>Office Supplies</v>
      </c>
      <c r="T378" s="18" t="n">
        <f aca="false">IF(K378=0,0,N378/K378)</f>
        <v>0.3125</v>
      </c>
      <c r="U378" s="17" t="str">
        <f aca="false">IF(N378&lt;0,"Loss",IF(T378&gt;=0.2,"High margin","Normal"))</f>
        <v>High margin</v>
      </c>
      <c r="V378" s="17" t="str">
        <f aca="false">IF(M378=0,"No discount",IF(M378&lt;=0.2,"Low",IF(M378&lt;=0.4,"Medium","High")))</f>
        <v>Low</v>
      </c>
      <c r="W378" s="17" t="str">
        <f aca="false">IF(OR(B378="Same Day",B378="First Class"),"Fast","Standard")</f>
        <v>Fast</v>
      </c>
      <c r="X378" s="19" t="n">
        <f aca="false">ROUND(K378/L378,2)</f>
        <v>24.78</v>
      </c>
    </row>
    <row r="379" customFormat="false" ht="15" hidden="false" customHeight="false" outlineLevel="0" collapsed="false">
      <c r="A379" s="14" t="n">
        <v>378</v>
      </c>
      <c r="B379" s="14" t="s">
        <v>139</v>
      </c>
      <c r="C379" s="14" t="s">
        <v>135</v>
      </c>
      <c r="D379" s="14" t="s">
        <v>128</v>
      </c>
      <c r="E379" s="14" t="s">
        <v>224</v>
      </c>
      <c r="F379" s="14" t="s">
        <v>275</v>
      </c>
      <c r="G379" s="14" t="n">
        <v>2038</v>
      </c>
      <c r="H379" s="14" t="s">
        <v>166</v>
      </c>
      <c r="I379" s="14" t="s">
        <v>132</v>
      </c>
      <c r="J379" s="14" t="s">
        <v>142</v>
      </c>
      <c r="K379" s="15" t="n">
        <v>1488.424</v>
      </c>
      <c r="L379" s="14" t="n">
        <v>7</v>
      </c>
      <c r="M379" s="16" t="n">
        <v>0.3</v>
      </c>
      <c r="N379" s="15" t="n">
        <v>-297.6848</v>
      </c>
      <c r="O379" s="17" t="str">
        <f aca="false">UPPER(LEFT(F379,3))&amp;"-"&amp;G379</f>
        <v>MAS-2038</v>
      </c>
      <c r="P379" s="17" t="str">
        <f aca="false">PROPER(TRIM(E379))</f>
        <v>Franklin</v>
      </c>
      <c r="Q379" s="17" t="str">
        <f aca="false">IFERROR(VLOOKUP(F379,Lookups!$A$2:$B$50,2,FALSE()),"Not found")</f>
        <v>East</v>
      </c>
      <c r="R379" s="17" t="str">
        <f aca="false">IF(Q379=H379,"Match","Mismatch")</f>
        <v>Match</v>
      </c>
      <c r="S379" s="17" t="str">
        <f aca="false">IFERROR(INDEX(SubCatCat,MATCH(J379,SubCatName,0)),"Not found")</f>
        <v>Furniture</v>
      </c>
      <c r="T379" s="18" t="n">
        <f aca="false">IF(K379=0,0,N379/K379)</f>
        <v>-0.2</v>
      </c>
      <c r="U379" s="17" t="str">
        <f aca="false">IF(N379&lt;0,"Loss",IF(T379&gt;=0.2,"High margin","Normal"))</f>
        <v>Loss</v>
      </c>
      <c r="V379" s="17" t="str">
        <f aca="false">IF(M379=0,"No discount",IF(M379&lt;=0.2,"Low",IF(M379&lt;=0.4,"Medium","High")))</f>
        <v>Medium</v>
      </c>
      <c r="W379" s="17" t="str">
        <f aca="false">IF(OR(B379="Same Day",B379="First Class"),"Fast","Standard")</f>
        <v>Standard</v>
      </c>
      <c r="X379" s="19" t="n">
        <f aca="false">ROUND(K379/L379,2)</f>
        <v>212.63</v>
      </c>
    </row>
    <row r="380" customFormat="false" ht="15" hidden="false" customHeight="false" outlineLevel="0" collapsed="false">
      <c r="A380" s="14" t="n">
        <v>379</v>
      </c>
      <c r="B380" s="14" t="s">
        <v>139</v>
      </c>
      <c r="C380" s="14" t="s">
        <v>7</v>
      </c>
      <c r="D380" s="14" t="s">
        <v>128</v>
      </c>
      <c r="E380" s="14" t="s">
        <v>170</v>
      </c>
      <c r="F380" s="14" t="s">
        <v>155</v>
      </c>
      <c r="G380" s="14" t="n">
        <v>77095</v>
      </c>
      <c r="H380" s="14" t="s">
        <v>156</v>
      </c>
      <c r="I380" s="14" t="s">
        <v>137</v>
      </c>
      <c r="J380" s="14" t="s">
        <v>147</v>
      </c>
      <c r="K380" s="15" t="n">
        <v>8.652</v>
      </c>
      <c r="L380" s="14" t="n">
        <v>3</v>
      </c>
      <c r="M380" s="16" t="n">
        <v>0.8</v>
      </c>
      <c r="N380" s="15" t="n">
        <v>-20.3322</v>
      </c>
      <c r="O380" s="17" t="str">
        <f aca="false">UPPER(LEFT(F380,3))&amp;"-"&amp;G380</f>
        <v>TEX-77095</v>
      </c>
      <c r="P380" s="17" t="str">
        <f aca="false">PROPER(TRIM(E380))</f>
        <v>Houston</v>
      </c>
      <c r="Q380" s="17" t="str">
        <f aca="false">IFERROR(VLOOKUP(F380,Lookups!$A$2:$B$50,2,FALSE()),"Not found")</f>
        <v>Central</v>
      </c>
      <c r="R380" s="17" t="str">
        <f aca="false">IF(Q380=H380,"Match","Mismatch")</f>
        <v>Match</v>
      </c>
      <c r="S380" s="17" t="str">
        <f aca="false">IFERROR(INDEX(SubCatCat,MATCH(J380,SubCatName,0)),"Not found")</f>
        <v>Office Supplies</v>
      </c>
      <c r="T380" s="18" t="n">
        <f aca="false">IF(K380=0,0,N380/K380)</f>
        <v>-2.35</v>
      </c>
      <c r="U380" s="17" t="str">
        <f aca="false">IF(N380&lt;0,"Loss",IF(T380&gt;=0.2,"High margin","Normal"))</f>
        <v>Loss</v>
      </c>
      <c r="V380" s="17" t="str">
        <f aca="false">IF(M380=0,"No discount",IF(M380&lt;=0.2,"Low",IF(M380&lt;=0.4,"Medium","High")))</f>
        <v>High</v>
      </c>
      <c r="W380" s="17" t="str">
        <f aca="false">IF(OR(B380="Same Day",B380="First Class"),"Fast","Standard")</f>
        <v>Standard</v>
      </c>
      <c r="X380" s="19" t="n">
        <f aca="false">ROUND(K380/L380,2)</f>
        <v>2.88</v>
      </c>
    </row>
    <row r="381" customFormat="false" ht="15" hidden="false" customHeight="false" outlineLevel="0" collapsed="false">
      <c r="A381" s="14" t="n">
        <v>380</v>
      </c>
      <c r="B381" s="14" t="s">
        <v>139</v>
      </c>
      <c r="C381" s="14" t="s">
        <v>7</v>
      </c>
      <c r="D381" s="14" t="s">
        <v>128</v>
      </c>
      <c r="E381" s="14" t="s">
        <v>170</v>
      </c>
      <c r="F381" s="14" t="s">
        <v>155</v>
      </c>
      <c r="G381" s="14" t="n">
        <v>77095</v>
      </c>
      <c r="H381" s="14" t="s">
        <v>156</v>
      </c>
      <c r="I381" s="14" t="s">
        <v>137</v>
      </c>
      <c r="J381" s="14" t="s">
        <v>143</v>
      </c>
      <c r="K381" s="15" t="n">
        <v>23.832</v>
      </c>
      <c r="L381" s="14" t="n">
        <v>3</v>
      </c>
      <c r="M381" s="16" t="n">
        <v>0.2</v>
      </c>
      <c r="N381" s="15" t="n">
        <v>2.6811</v>
      </c>
      <c r="O381" s="17" t="str">
        <f aca="false">UPPER(LEFT(F381,3))&amp;"-"&amp;G381</f>
        <v>TEX-77095</v>
      </c>
      <c r="P381" s="17" t="str">
        <f aca="false">PROPER(TRIM(E381))</f>
        <v>Houston</v>
      </c>
      <c r="Q381" s="17" t="str">
        <f aca="false">IFERROR(VLOOKUP(F381,Lookups!$A$2:$B$50,2,FALSE()),"Not found")</f>
        <v>Central</v>
      </c>
      <c r="R381" s="17" t="str">
        <f aca="false">IF(Q381=H381,"Match","Mismatch")</f>
        <v>Match</v>
      </c>
      <c r="S381" s="17" t="str">
        <f aca="false">IFERROR(INDEX(SubCatCat,MATCH(J381,SubCatName,0)),"Not found")</f>
        <v>Office Supplies</v>
      </c>
      <c r="T381" s="18" t="n">
        <f aca="false">IF(K381=0,0,N381/K381)</f>
        <v>0.1125</v>
      </c>
      <c r="U381" s="17" t="str">
        <f aca="false">IF(N381&lt;0,"Loss",IF(T381&gt;=0.2,"High margin","Normal"))</f>
        <v>Normal</v>
      </c>
      <c r="V381" s="17" t="str">
        <f aca="false">IF(M381=0,"No discount",IF(M381&lt;=0.2,"Low",IF(M381&lt;=0.4,"Medium","High")))</f>
        <v>Low</v>
      </c>
      <c r="W381" s="17" t="str">
        <f aca="false">IF(OR(B381="Same Day",B381="First Class"),"Fast","Standard")</f>
        <v>Standard</v>
      </c>
      <c r="X381" s="19" t="n">
        <f aca="false">ROUND(K381/L381,2)</f>
        <v>7.94</v>
      </c>
    </row>
    <row r="382" customFormat="false" ht="15" hidden="false" customHeight="false" outlineLevel="0" collapsed="false">
      <c r="A382" s="14" t="n">
        <v>381</v>
      </c>
      <c r="B382" s="14" t="s">
        <v>139</v>
      </c>
      <c r="C382" s="14" t="s">
        <v>7</v>
      </c>
      <c r="D382" s="14" t="s">
        <v>128</v>
      </c>
      <c r="E382" s="14" t="s">
        <v>170</v>
      </c>
      <c r="F382" s="14" t="s">
        <v>155</v>
      </c>
      <c r="G382" s="14" t="n">
        <v>77095</v>
      </c>
      <c r="H382" s="14" t="s">
        <v>156</v>
      </c>
      <c r="I382" s="14" t="s">
        <v>137</v>
      </c>
      <c r="J382" s="14" t="s">
        <v>146</v>
      </c>
      <c r="K382" s="15" t="n">
        <v>12.176</v>
      </c>
      <c r="L382" s="14" t="n">
        <v>4</v>
      </c>
      <c r="M382" s="16" t="n">
        <v>0.8</v>
      </c>
      <c r="N382" s="15" t="n">
        <v>-18.8728</v>
      </c>
      <c r="O382" s="17" t="str">
        <f aca="false">UPPER(LEFT(F382,3))&amp;"-"&amp;G382</f>
        <v>TEX-77095</v>
      </c>
      <c r="P382" s="17" t="str">
        <f aca="false">PROPER(TRIM(E382))</f>
        <v>Houston</v>
      </c>
      <c r="Q382" s="17" t="str">
        <f aca="false">IFERROR(VLOOKUP(F382,Lookups!$A$2:$B$50,2,FALSE()),"Not found")</f>
        <v>Central</v>
      </c>
      <c r="R382" s="17" t="str">
        <f aca="false">IF(Q382=H382,"Match","Mismatch")</f>
        <v>Match</v>
      </c>
      <c r="S382" s="17" t="str">
        <f aca="false">IFERROR(INDEX(SubCatCat,MATCH(J382,SubCatName,0)),"Not found")</f>
        <v>Office Supplies</v>
      </c>
      <c r="T382" s="18" t="n">
        <f aca="false">IF(K382=0,0,N382/K382)</f>
        <v>-1.55</v>
      </c>
      <c r="U382" s="17" t="str">
        <f aca="false">IF(N382&lt;0,"Loss",IF(T382&gt;=0.2,"High margin","Normal"))</f>
        <v>Loss</v>
      </c>
      <c r="V382" s="17" t="str">
        <f aca="false">IF(M382=0,"No discount",IF(M382&lt;=0.2,"Low",IF(M382&lt;=0.4,"Medium","High")))</f>
        <v>High</v>
      </c>
      <c r="W382" s="17" t="str">
        <f aca="false">IF(OR(B382="Same Day",B382="First Class"),"Fast","Standard")</f>
        <v>Standard</v>
      </c>
      <c r="X382" s="19" t="n">
        <f aca="false">ROUND(K382/L382,2)</f>
        <v>3.04</v>
      </c>
    </row>
    <row r="383" customFormat="false" ht="15" hidden="false" customHeight="false" outlineLevel="0" collapsed="false">
      <c r="A383" s="14" t="n">
        <v>382</v>
      </c>
      <c r="B383" s="14" t="s">
        <v>171</v>
      </c>
      <c r="C383" s="14" t="s">
        <v>135</v>
      </c>
      <c r="D383" s="14" t="s">
        <v>128</v>
      </c>
      <c r="E383" s="14" t="s">
        <v>161</v>
      </c>
      <c r="F383" s="14" t="s">
        <v>9</v>
      </c>
      <c r="G383" s="14" t="n">
        <v>94109</v>
      </c>
      <c r="H383" s="14" t="s">
        <v>3</v>
      </c>
      <c r="I383" s="14" t="s">
        <v>137</v>
      </c>
      <c r="J383" s="14" t="s">
        <v>150</v>
      </c>
      <c r="K383" s="15" t="n">
        <v>50.96</v>
      </c>
      <c r="L383" s="14" t="n">
        <v>7</v>
      </c>
      <c r="M383" s="16" t="n">
        <v>0</v>
      </c>
      <c r="N383" s="15" t="n">
        <v>25.48</v>
      </c>
      <c r="O383" s="17" t="str">
        <f aca="false">UPPER(LEFT(F383,3))&amp;"-"&amp;G383</f>
        <v>CAL-94109</v>
      </c>
      <c r="P383" s="17" t="str">
        <f aca="false">PROPER(TRIM(E383))</f>
        <v>San Francisco</v>
      </c>
      <c r="Q383" s="17" t="str">
        <f aca="false">IFERROR(VLOOKUP(F383,Lookups!$A$2:$B$50,2,FALSE()),"Not found")</f>
        <v>West</v>
      </c>
      <c r="R383" s="17" t="str">
        <f aca="false">IF(Q383=H383,"Match","Mismatch")</f>
        <v>Match</v>
      </c>
      <c r="S383" s="17" t="str">
        <f aca="false">IFERROR(INDEX(SubCatCat,MATCH(J383,SubCatName,0)),"Not found")</f>
        <v>Office Supplies</v>
      </c>
      <c r="T383" s="18" t="n">
        <f aca="false">IF(K383=0,0,N383/K383)</f>
        <v>0.5</v>
      </c>
      <c r="U383" s="17" t="str">
        <f aca="false">IF(N383&lt;0,"Loss",IF(T383&gt;=0.2,"High margin","Normal"))</f>
        <v>High margin</v>
      </c>
      <c r="V383" s="17" t="str">
        <f aca="false">IF(M383=0,"No discount",IF(M383&lt;=0.2,"Low",IF(M383&lt;=0.4,"Medium","High")))</f>
        <v>No discount</v>
      </c>
      <c r="W383" s="17" t="str">
        <f aca="false">IF(OR(B383="Same Day",B383="First Class"),"Fast","Standard")</f>
        <v>Fast</v>
      </c>
      <c r="X383" s="19" t="n">
        <f aca="false">ROUND(K383/L383,2)</f>
        <v>7.28</v>
      </c>
    </row>
    <row r="384" customFormat="false" ht="15" hidden="false" customHeight="false" outlineLevel="0" collapsed="false">
      <c r="A384" s="14" t="n">
        <v>383</v>
      </c>
      <c r="B384" s="14" t="s">
        <v>171</v>
      </c>
      <c r="C384" s="14" t="s">
        <v>135</v>
      </c>
      <c r="D384" s="14" t="s">
        <v>128</v>
      </c>
      <c r="E384" s="14" t="s">
        <v>161</v>
      </c>
      <c r="F384" s="14" t="s">
        <v>9</v>
      </c>
      <c r="G384" s="14" t="n">
        <v>94109</v>
      </c>
      <c r="H384" s="14" t="s">
        <v>3</v>
      </c>
      <c r="I384" s="14" t="s">
        <v>137</v>
      </c>
      <c r="J384" s="14" t="s">
        <v>146</v>
      </c>
      <c r="K384" s="15" t="n">
        <v>49.536</v>
      </c>
      <c r="L384" s="14" t="n">
        <v>3</v>
      </c>
      <c r="M384" s="16" t="n">
        <v>0.2</v>
      </c>
      <c r="N384" s="15" t="n">
        <v>17.3376</v>
      </c>
      <c r="O384" s="17" t="str">
        <f aca="false">UPPER(LEFT(F384,3))&amp;"-"&amp;G384</f>
        <v>CAL-94109</v>
      </c>
      <c r="P384" s="17" t="str">
        <f aca="false">PROPER(TRIM(E384))</f>
        <v>San Francisco</v>
      </c>
      <c r="Q384" s="17" t="str">
        <f aca="false">IFERROR(VLOOKUP(F384,Lookups!$A$2:$B$50,2,FALSE()),"Not found")</f>
        <v>West</v>
      </c>
      <c r="R384" s="17" t="str">
        <f aca="false">IF(Q384=H384,"Match","Mismatch")</f>
        <v>Match</v>
      </c>
      <c r="S384" s="17" t="str">
        <f aca="false">IFERROR(INDEX(SubCatCat,MATCH(J384,SubCatName,0)),"Not found")</f>
        <v>Office Supplies</v>
      </c>
      <c r="T384" s="18" t="n">
        <f aca="false">IF(K384=0,0,N384/K384)</f>
        <v>0.35</v>
      </c>
      <c r="U384" s="17" t="str">
        <f aca="false">IF(N384&lt;0,"Loss",IF(T384&gt;=0.2,"High margin","Normal"))</f>
        <v>High margin</v>
      </c>
      <c r="V384" s="17" t="str">
        <f aca="false">IF(M384=0,"No discount",IF(M384&lt;=0.2,"Low",IF(M384&lt;=0.4,"Medium","High")))</f>
        <v>Low</v>
      </c>
      <c r="W384" s="17" t="str">
        <f aca="false">IF(OR(B384="Same Day",B384="First Class"),"Fast","Standard")</f>
        <v>Fast</v>
      </c>
      <c r="X384" s="19" t="n">
        <f aca="false">ROUND(K384/L384,2)</f>
        <v>16.51</v>
      </c>
    </row>
    <row r="385" customFormat="false" ht="15" hidden="false" customHeight="false" outlineLevel="0" collapsed="false">
      <c r="A385" s="14" t="n">
        <v>384</v>
      </c>
      <c r="B385" s="14" t="s">
        <v>127</v>
      </c>
      <c r="C385" s="14" t="s">
        <v>135</v>
      </c>
      <c r="D385" s="14" t="s">
        <v>128</v>
      </c>
      <c r="E385" s="14" t="s">
        <v>262</v>
      </c>
      <c r="F385" s="14" t="s">
        <v>179</v>
      </c>
      <c r="G385" s="14" t="n">
        <v>48180</v>
      </c>
      <c r="H385" s="14" t="s">
        <v>156</v>
      </c>
      <c r="I385" s="14" t="s">
        <v>5</v>
      </c>
      <c r="J385" s="14" t="s">
        <v>168</v>
      </c>
      <c r="K385" s="15" t="n">
        <v>41.9</v>
      </c>
      <c r="L385" s="14" t="n">
        <v>2</v>
      </c>
      <c r="M385" s="16" t="n">
        <v>0</v>
      </c>
      <c r="N385" s="15" t="n">
        <v>8.799</v>
      </c>
      <c r="O385" s="17" t="str">
        <f aca="false">UPPER(LEFT(F385,3))&amp;"-"&amp;G385</f>
        <v>MIC-48180</v>
      </c>
      <c r="P385" s="17" t="str">
        <f aca="false">PROPER(TRIM(E385))</f>
        <v>Taylor</v>
      </c>
      <c r="Q385" s="17" t="str">
        <f aca="false">IFERROR(VLOOKUP(F385,Lookups!$A$2:$B$50,2,FALSE()),"Not found")</f>
        <v>Central</v>
      </c>
      <c r="R385" s="17" t="str">
        <f aca="false">IF(Q385=H385,"Match","Mismatch")</f>
        <v>Match</v>
      </c>
      <c r="S385" s="17" t="str">
        <f aca="false">IFERROR(INDEX(SubCatCat,MATCH(J385,SubCatName,0)),"Not found")</f>
        <v>Technology</v>
      </c>
      <c r="T385" s="18" t="n">
        <f aca="false">IF(K385=0,0,N385/K385)</f>
        <v>0.21</v>
      </c>
      <c r="U385" s="17" t="str">
        <f aca="false">IF(N385&lt;0,"Loss",IF(T385&gt;=0.2,"High margin","Normal"))</f>
        <v>High margin</v>
      </c>
      <c r="V385" s="17" t="str">
        <f aca="false">IF(M385=0,"No discount",IF(M385&lt;=0.2,"Low",IF(M385&lt;=0.4,"Medium","High")))</f>
        <v>No discount</v>
      </c>
      <c r="W385" s="17" t="str">
        <f aca="false">IF(OR(B385="Same Day",B385="First Class"),"Fast","Standard")</f>
        <v>Standard</v>
      </c>
      <c r="X385" s="19" t="n">
        <f aca="false">ROUND(K385/L385,2)</f>
        <v>20.95</v>
      </c>
    </row>
    <row r="386" customFormat="false" ht="15" hidden="false" customHeight="false" outlineLevel="0" collapsed="false">
      <c r="A386" s="14" t="n">
        <v>385</v>
      </c>
      <c r="B386" s="14" t="s">
        <v>139</v>
      </c>
      <c r="C386" s="14" t="s">
        <v>7</v>
      </c>
      <c r="D386" s="14" t="s">
        <v>128</v>
      </c>
      <c r="E386" s="14" t="s">
        <v>282</v>
      </c>
      <c r="F386" s="14" t="s">
        <v>141</v>
      </c>
      <c r="G386" s="14" t="n">
        <v>33024</v>
      </c>
      <c r="H386" s="14" t="s">
        <v>131</v>
      </c>
      <c r="I386" s="14" t="s">
        <v>132</v>
      </c>
      <c r="J386" s="14" t="s">
        <v>142</v>
      </c>
      <c r="K386" s="15" t="n">
        <v>375.4575</v>
      </c>
      <c r="L386" s="14" t="n">
        <v>3</v>
      </c>
      <c r="M386" s="16" t="n">
        <v>0.45</v>
      </c>
      <c r="N386" s="15" t="n">
        <v>-157.0095</v>
      </c>
      <c r="O386" s="17" t="str">
        <f aca="false">UPPER(LEFT(F386,3))&amp;"-"&amp;G386</f>
        <v>FLO-33024</v>
      </c>
      <c r="P386" s="17" t="str">
        <f aca="false">PROPER(TRIM(E386))</f>
        <v>Pembroke Pines</v>
      </c>
      <c r="Q386" s="17" t="str">
        <f aca="false">IFERROR(VLOOKUP(F386,Lookups!$A$2:$B$50,2,FALSE()),"Not found")</f>
        <v>South</v>
      </c>
      <c r="R386" s="17" t="str">
        <f aca="false">IF(Q386=H386,"Match","Mismatch")</f>
        <v>Match</v>
      </c>
      <c r="S386" s="17" t="str">
        <f aca="false">IFERROR(INDEX(SubCatCat,MATCH(J386,SubCatName,0)),"Not found")</f>
        <v>Furniture</v>
      </c>
      <c r="T386" s="18" t="n">
        <f aca="false">IF(K386=0,0,N386/K386)</f>
        <v>-0.418181818181818</v>
      </c>
      <c r="U386" s="17" t="str">
        <f aca="false">IF(N386&lt;0,"Loss",IF(T386&gt;=0.2,"High margin","Normal"))</f>
        <v>Loss</v>
      </c>
      <c r="V386" s="17" t="str">
        <f aca="false">IF(M386=0,"No discount",IF(M386&lt;=0.2,"Low",IF(M386&lt;=0.4,"Medium","High")))</f>
        <v>High</v>
      </c>
      <c r="W386" s="17" t="str">
        <f aca="false">IF(OR(B386="Same Day",B386="First Class"),"Fast","Standard")</f>
        <v>Standard</v>
      </c>
      <c r="X386" s="19" t="n">
        <f aca="false">ROUND(K386/L386,2)</f>
        <v>125.15</v>
      </c>
    </row>
    <row r="387" customFormat="false" ht="15" hidden="false" customHeight="false" outlineLevel="0" collapsed="false">
      <c r="A387" s="14" t="n">
        <v>386</v>
      </c>
      <c r="B387" s="14" t="s">
        <v>139</v>
      </c>
      <c r="C387" s="14" t="s">
        <v>7</v>
      </c>
      <c r="D387" s="14" t="s">
        <v>128</v>
      </c>
      <c r="E387" s="14" t="s">
        <v>282</v>
      </c>
      <c r="F387" s="14" t="s">
        <v>141</v>
      </c>
      <c r="G387" s="14" t="n">
        <v>33024</v>
      </c>
      <c r="H387" s="14" t="s">
        <v>131</v>
      </c>
      <c r="I387" s="14" t="s">
        <v>5</v>
      </c>
      <c r="J387" s="14" t="s">
        <v>168</v>
      </c>
      <c r="K387" s="15" t="n">
        <v>83.976</v>
      </c>
      <c r="L387" s="14" t="n">
        <v>3</v>
      </c>
      <c r="M387" s="16" t="n">
        <v>0.2</v>
      </c>
      <c r="N387" s="15" t="n">
        <v>-1.0497</v>
      </c>
      <c r="O387" s="17" t="str">
        <f aca="false">UPPER(LEFT(F387,3))&amp;"-"&amp;G387</f>
        <v>FLO-33024</v>
      </c>
      <c r="P387" s="17" t="str">
        <f aca="false">PROPER(TRIM(E387))</f>
        <v>Pembroke Pines</v>
      </c>
      <c r="Q387" s="17" t="str">
        <f aca="false">IFERROR(VLOOKUP(F387,Lookups!$A$2:$B$50,2,FALSE()),"Not found")</f>
        <v>South</v>
      </c>
      <c r="R387" s="17" t="str">
        <f aca="false">IF(Q387=H387,"Match","Mismatch")</f>
        <v>Match</v>
      </c>
      <c r="S387" s="17" t="str">
        <f aca="false">IFERROR(INDEX(SubCatCat,MATCH(J387,SubCatName,0)),"Not found")</f>
        <v>Technology</v>
      </c>
      <c r="T387" s="18" t="n">
        <f aca="false">IF(K387=0,0,N387/K387)</f>
        <v>-0.0125</v>
      </c>
      <c r="U387" s="17" t="str">
        <f aca="false">IF(N387&lt;0,"Loss",IF(T387&gt;=0.2,"High margin","Normal"))</f>
        <v>Loss</v>
      </c>
      <c r="V387" s="17" t="str">
        <f aca="false">IF(M387=0,"No discount",IF(M387&lt;=0.2,"Low",IF(M387&lt;=0.4,"Medium","High")))</f>
        <v>Low</v>
      </c>
      <c r="W387" s="17" t="str">
        <f aca="false">IF(OR(B387="Same Day",B387="First Class"),"Fast","Standard")</f>
        <v>Standard</v>
      </c>
      <c r="X387" s="19" t="n">
        <f aca="false">ROUND(K387/L387,2)</f>
        <v>27.99</v>
      </c>
    </row>
    <row r="388" customFormat="false" ht="15" hidden="false" customHeight="false" outlineLevel="0" collapsed="false">
      <c r="A388" s="14" t="n">
        <v>387</v>
      </c>
      <c r="B388" s="14" t="s">
        <v>139</v>
      </c>
      <c r="C388" s="14" t="s">
        <v>135</v>
      </c>
      <c r="D388" s="14" t="s">
        <v>128</v>
      </c>
      <c r="E388" s="14" t="s">
        <v>164</v>
      </c>
      <c r="F388" s="14" t="s">
        <v>165</v>
      </c>
      <c r="G388" s="14" t="n">
        <v>19140</v>
      </c>
      <c r="H388" s="14" t="s">
        <v>166</v>
      </c>
      <c r="I388" s="14" t="s">
        <v>5</v>
      </c>
      <c r="J388" s="14" t="s">
        <v>232</v>
      </c>
      <c r="K388" s="15" t="n">
        <v>482.34</v>
      </c>
      <c r="L388" s="14" t="n">
        <v>4</v>
      </c>
      <c r="M388" s="16" t="n">
        <v>0.7</v>
      </c>
      <c r="N388" s="15" t="n">
        <v>-337.638</v>
      </c>
      <c r="O388" s="17" t="str">
        <f aca="false">UPPER(LEFT(F388,3))&amp;"-"&amp;G388</f>
        <v>PEN-19140</v>
      </c>
      <c r="P388" s="17" t="str">
        <f aca="false">PROPER(TRIM(E388))</f>
        <v>Philadelphia</v>
      </c>
      <c r="Q388" s="17" t="str">
        <f aca="false">IFERROR(VLOOKUP(F388,Lookups!$A$2:$B$50,2,FALSE()),"Not found")</f>
        <v>East</v>
      </c>
      <c r="R388" s="17" t="str">
        <f aca="false">IF(Q388=H388,"Match","Mismatch")</f>
        <v>Match</v>
      </c>
      <c r="S388" s="17" t="str">
        <f aca="false">IFERROR(INDEX(SubCatCat,MATCH(J388,SubCatName,0)),"Not found")</f>
        <v>Technology</v>
      </c>
      <c r="T388" s="18" t="n">
        <f aca="false">IF(K388=0,0,N388/K388)</f>
        <v>-0.7</v>
      </c>
      <c r="U388" s="17" t="str">
        <f aca="false">IF(N388&lt;0,"Loss",IF(T388&gt;=0.2,"High margin","Normal"))</f>
        <v>Loss</v>
      </c>
      <c r="V388" s="17" t="str">
        <f aca="false">IF(M388=0,"No discount",IF(M388&lt;=0.2,"Low",IF(M388&lt;=0.4,"Medium","High")))</f>
        <v>High</v>
      </c>
      <c r="W388" s="17" t="str">
        <f aca="false">IF(OR(B388="Same Day",B388="First Class"),"Fast","Standard")</f>
        <v>Standard</v>
      </c>
      <c r="X388" s="19" t="n">
        <f aca="false">ROUND(K388/L388,2)</f>
        <v>120.59</v>
      </c>
    </row>
    <row r="389" customFormat="false" ht="15" hidden="false" customHeight="false" outlineLevel="0" collapsed="false">
      <c r="A389" s="14" t="n">
        <v>388</v>
      </c>
      <c r="B389" s="14" t="s">
        <v>139</v>
      </c>
      <c r="C389" s="14" t="s">
        <v>135</v>
      </c>
      <c r="D389" s="14" t="s">
        <v>128</v>
      </c>
      <c r="E389" s="14" t="s">
        <v>164</v>
      </c>
      <c r="F389" s="14" t="s">
        <v>165</v>
      </c>
      <c r="G389" s="14" t="n">
        <v>19140</v>
      </c>
      <c r="H389" s="14" t="s">
        <v>166</v>
      </c>
      <c r="I389" s="14" t="s">
        <v>132</v>
      </c>
      <c r="J389" s="14" t="s">
        <v>144</v>
      </c>
      <c r="K389" s="15" t="n">
        <v>2.96</v>
      </c>
      <c r="L389" s="14" t="n">
        <v>1</v>
      </c>
      <c r="M389" s="16" t="n">
        <v>0.2</v>
      </c>
      <c r="N389" s="15" t="n">
        <v>0.777</v>
      </c>
      <c r="O389" s="17" t="str">
        <f aca="false">UPPER(LEFT(F389,3))&amp;"-"&amp;G389</f>
        <v>PEN-19140</v>
      </c>
      <c r="P389" s="17" t="str">
        <f aca="false">PROPER(TRIM(E389))</f>
        <v>Philadelphia</v>
      </c>
      <c r="Q389" s="17" t="str">
        <f aca="false">IFERROR(VLOOKUP(F389,Lookups!$A$2:$B$50,2,FALSE()),"Not found")</f>
        <v>East</v>
      </c>
      <c r="R389" s="17" t="str">
        <f aca="false">IF(Q389=H389,"Match","Mismatch")</f>
        <v>Match</v>
      </c>
      <c r="S389" s="17" t="str">
        <f aca="false">IFERROR(INDEX(SubCatCat,MATCH(J389,SubCatName,0)),"Not found")</f>
        <v>Furniture</v>
      </c>
      <c r="T389" s="18" t="n">
        <f aca="false">IF(K389=0,0,N389/K389)</f>
        <v>0.2625</v>
      </c>
      <c r="U389" s="17" t="str">
        <f aca="false">IF(N389&lt;0,"Loss",IF(T389&gt;=0.2,"High margin","Normal"))</f>
        <v>High margin</v>
      </c>
      <c r="V389" s="17" t="str">
        <f aca="false">IF(M389=0,"No discount",IF(M389&lt;=0.2,"Low",IF(M389&lt;=0.4,"Medium","High")))</f>
        <v>Low</v>
      </c>
      <c r="W389" s="17" t="str">
        <f aca="false">IF(OR(B389="Same Day",B389="First Class"),"Fast","Standard")</f>
        <v>Standard</v>
      </c>
      <c r="X389" s="19" t="n">
        <f aca="false">ROUND(K389/L389,2)</f>
        <v>2.96</v>
      </c>
    </row>
    <row r="390" customFormat="false" ht="15" hidden="false" customHeight="false" outlineLevel="0" collapsed="false">
      <c r="A390" s="14" t="n">
        <v>389</v>
      </c>
      <c r="B390" s="14" t="s">
        <v>171</v>
      </c>
      <c r="C390" s="14" t="s">
        <v>7</v>
      </c>
      <c r="D390" s="14" t="s">
        <v>128</v>
      </c>
      <c r="E390" s="14" t="s">
        <v>257</v>
      </c>
      <c r="F390" s="14" t="s">
        <v>213</v>
      </c>
      <c r="G390" s="14" t="n">
        <v>45231</v>
      </c>
      <c r="H390" s="14" t="s">
        <v>166</v>
      </c>
      <c r="I390" s="14" t="s">
        <v>137</v>
      </c>
      <c r="J390" s="14" t="s">
        <v>145</v>
      </c>
      <c r="K390" s="15" t="n">
        <v>2.624</v>
      </c>
      <c r="L390" s="14" t="n">
        <v>1</v>
      </c>
      <c r="M390" s="16" t="n">
        <v>0.2</v>
      </c>
      <c r="N390" s="15" t="n">
        <v>0.4264</v>
      </c>
      <c r="O390" s="17" t="str">
        <f aca="false">UPPER(LEFT(F390,3))&amp;"-"&amp;G390</f>
        <v>OHI-45231</v>
      </c>
      <c r="P390" s="17" t="str">
        <f aca="false">PROPER(TRIM(E390))</f>
        <v>Cincinnati</v>
      </c>
      <c r="Q390" s="17" t="str">
        <f aca="false">IFERROR(VLOOKUP(F390,Lookups!$A$2:$B$50,2,FALSE()),"Not found")</f>
        <v>East</v>
      </c>
      <c r="R390" s="17" t="str">
        <f aca="false">IF(Q390=H390,"Match","Mismatch")</f>
        <v>Match</v>
      </c>
      <c r="S390" s="17" t="str">
        <f aca="false">IFERROR(INDEX(SubCatCat,MATCH(J390,SubCatName,0)),"Not found")</f>
        <v>Office Supplies</v>
      </c>
      <c r="T390" s="18" t="n">
        <f aca="false">IF(K390=0,0,N390/K390)</f>
        <v>0.1625</v>
      </c>
      <c r="U390" s="17" t="str">
        <f aca="false">IF(N390&lt;0,"Loss",IF(T390&gt;=0.2,"High margin","Normal"))</f>
        <v>Normal</v>
      </c>
      <c r="V390" s="17" t="str">
        <f aca="false">IF(M390=0,"No discount",IF(M390&lt;=0.2,"Low",IF(M390&lt;=0.4,"Medium","High")))</f>
        <v>Low</v>
      </c>
      <c r="W390" s="17" t="str">
        <f aca="false">IF(OR(B390="Same Day",B390="First Class"),"Fast","Standard")</f>
        <v>Fast</v>
      </c>
      <c r="X390" s="19" t="n">
        <f aca="false">ROUND(K390/L390,2)</f>
        <v>2.62</v>
      </c>
    </row>
    <row r="391" customFormat="false" ht="15" hidden="false" customHeight="false" outlineLevel="0" collapsed="false">
      <c r="A391" s="14" t="n">
        <v>390</v>
      </c>
      <c r="B391" s="14" t="s">
        <v>139</v>
      </c>
      <c r="C391" s="14" t="s">
        <v>7</v>
      </c>
      <c r="D391" s="14" t="s">
        <v>128</v>
      </c>
      <c r="E391" s="14" t="s">
        <v>184</v>
      </c>
      <c r="F391" s="14" t="s">
        <v>185</v>
      </c>
      <c r="G391" s="14" t="n">
        <v>10009</v>
      </c>
      <c r="H391" s="14" t="s">
        <v>166</v>
      </c>
      <c r="I391" s="14" t="s">
        <v>137</v>
      </c>
      <c r="J391" s="14" t="s">
        <v>146</v>
      </c>
      <c r="K391" s="15" t="n">
        <v>23.36</v>
      </c>
      <c r="L391" s="14" t="n">
        <v>4</v>
      </c>
      <c r="M391" s="16" t="n">
        <v>0.2</v>
      </c>
      <c r="N391" s="15" t="n">
        <v>7.884</v>
      </c>
      <c r="O391" s="17" t="str">
        <f aca="false">UPPER(LEFT(F391,3))&amp;"-"&amp;G391</f>
        <v>NEW-10009</v>
      </c>
      <c r="P391" s="17" t="str">
        <f aca="false">PROPER(TRIM(E391))</f>
        <v>New York City</v>
      </c>
      <c r="Q391" s="17" t="str">
        <f aca="false">IFERROR(VLOOKUP(F391,Lookups!$A$2:$B$50,2,FALSE()),"Not found")</f>
        <v>East</v>
      </c>
      <c r="R391" s="17" t="str">
        <f aca="false">IF(Q391=H391,"Match","Mismatch")</f>
        <v>Match</v>
      </c>
      <c r="S391" s="17" t="str">
        <f aca="false">IFERROR(INDEX(SubCatCat,MATCH(J391,SubCatName,0)),"Not found")</f>
        <v>Office Supplies</v>
      </c>
      <c r="T391" s="18" t="n">
        <f aca="false">IF(K391=0,0,N391/K391)</f>
        <v>0.3375</v>
      </c>
      <c r="U391" s="17" t="str">
        <f aca="false">IF(N391&lt;0,"Loss",IF(T391&gt;=0.2,"High margin","Normal"))</f>
        <v>High margin</v>
      </c>
      <c r="V391" s="17" t="str">
        <f aca="false">IF(M391=0,"No discount",IF(M391&lt;=0.2,"Low",IF(M391&lt;=0.4,"Medium","High")))</f>
        <v>Low</v>
      </c>
      <c r="W391" s="17" t="str">
        <f aca="false">IF(OR(B391="Same Day",B391="First Class"),"Fast","Standard")</f>
        <v>Standard</v>
      </c>
      <c r="X391" s="19" t="n">
        <f aca="false">ROUND(K391/L391,2)</f>
        <v>5.84</v>
      </c>
    </row>
    <row r="392" customFormat="false" ht="15" hidden="false" customHeight="false" outlineLevel="0" collapsed="false">
      <c r="A392" s="14" t="n">
        <v>391</v>
      </c>
      <c r="B392" s="14" t="s">
        <v>139</v>
      </c>
      <c r="C392" s="14" t="s">
        <v>7</v>
      </c>
      <c r="D392" s="14" t="s">
        <v>128</v>
      </c>
      <c r="E392" s="14" t="s">
        <v>184</v>
      </c>
      <c r="F392" s="14" t="s">
        <v>185</v>
      </c>
      <c r="G392" s="14" t="n">
        <v>10009</v>
      </c>
      <c r="H392" s="14" t="s">
        <v>166</v>
      </c>
      <c r="I392" s="14" t="s">
        <v>5</v>
      </c>
      <c r="J392" s="14" t="s">
        <v>168</v>
      </c>
      <c r="K392" s="15" t="n">
        <v>39.98</v>
      </c>
      <c r="L392" s="14" t="n">
        <v>2</v>
      </c>
      <c r="M392" s="16" t="n">
        <v>0</v>
      </c>
      <c r="N392" s="15" t="n">
        <v>13.5932</v>
      </c>
      <c r="O392" s="17" t="str">
        <f aca="false">UPPER(LEFT(F392,3))&amp;"-"&amp;G392</f>
        <v>NEW-10009</v>
      </c>
      <c r="P392" s="17" t="str">
        <f aca="false">PROPER(TRIM(E392))</f>
        <v>New York City</v>
      </c>
      <c r="Q392" s="17" t="str">
        <f aca="false">IFERROR(VLOOKUP(F392,Lookups!$A$2:$B$50,2,FALSE()),"Not found")</f>
        <v>East</v>
      </c>
      <c r="R392" s="17" t="str">
        <f aca="false">IF(Q392=H392,"Match","Mismatch")</f>
        <v>Match</v>
      </c>
      <c r="S392" s="17" t="str">
        <f aca="false">IFERROR(INDEX(SubCatCat,MATCH(J392,SubCatName,0)),"Not found")</f>
        <v>Technology</v>
      </c>
      <c r="T392" s="18" t="n">
        <f aca="false">IF(K392=0,0,N392/K392)</f>
        <v>0.34</v>
      </c>
      <c r="U392" s="17" t="str">
        <f aca="false">IF(N392&lt;0,"Loss",IF(T392&gt;=0.2,"High margin","Normal"))</f>
        <v>High margin</v>
      </c>
      <c r="V392" s="17" t="str">
        <f aca="false">IF(M392=0,"No discount",IF(M392&lt;=0.2,"Low",IF(M392&lt;=0.4,"Medium","High")))</f>
        <v>No discount</v>
      </c>
      <c r="W392" s="17" t="str">
        <f aca="false">IF(OR(B392="Same Day",B392="First Class"),"Fast","Standard")</f>
        <v>Standard</v>
      </c>
      <c r="X392" s="19" t="n">
        <f aca="false">ROUND(K392/L392,2)</f>
        <v>19.99</v>
      </c>
    </row>
    <row r="393" customFormat="false" ht="15" hidden="false" customHeight="false" outlineLevel="0" collapsed="false">
      <c r="A393" s="14" t="n">
        <v>392</v>
      </c>
      <c r="B393" s="14" t="s">
        <v>127</v>
      </c>
      <c r="C393" s="14" t="s">
        <v>7</v>
      </c>
      <c r="D393" s="14" t="s">
        <v>128</v>
      </c>
      <c r="E393" s="14" t="s">
        <v>283</v>
      </c>
      <c r="F393" s="14" t="s">
        <v>152</v>
      </c>
      <c r="G393" s="14" t="n">
        <v>98198</v>
      </c>
      <c r="H393" s="14" t="s">
        <v>3</v>
      </c>
      <c r="I393" s="14" t="s">
        <v>5</v>
      </c>
      <c r="J393" s="14" t="s">
        <v>11</v>
      </c>
      <c r="K393" s="15" t="n">
        <v>246.384</v>
      </c>
      <c r="L393" s="14" t="n">
        <v>2</v>
      </c>
      <c r="M393" s="16" t="n">
        <v>0.2</v>
      </c>
      <c r="N393" s="15" t="n">
        <v>27.7182</v>
      </c>
      <c r="O393" s="17" t="str">
        <f aca="false">UPPER(LEFT(F393,3))&amp;"-"&amp;G393</f>
        <v>WAS-98198</v>
      </c>
      <c r="P393" s="17" t="str">
        <f aca="false">PROPER(TRIM(E393))</f>
        <v>Des Moines</v>
      </c>
      <c r="Q393" s="17" t="str">
        <f aca="false">IFERROR(VLOOKUP(F393,Lookups!$A$2:$B$50,2,FALSE()),"Not found")</f>
        <v>West</v>
      </c>
      <c r="R393" s="17" t="str">
        <f aca="false">IF(Q393=H393,"Match","Mismatch")</f>
        <v>Match</v>
      </c>
      <c r="S393" s="17" t="str">
        <f aca="false">IFERROR(INDEX(SubCatCat,MATCH(J393,SubCatName,0)),"Not found")</f>
        <v>Technology</v>
      </c>
      <c r="T393" s="18" t="n">
        <f aca="false">IF(K393=0,0,N393/K393)</f>
        <v>0.1125</v>
      </c>
      <c r="U393" s="17" t="str">
        <f aca="false">IF(N393&lt;0,"Loss",IF(T393&gt;=0.2,"High margin","Normal"))</f>
        <v>Normal</v>
      </c>
      <c r="V393" s="17" t="str">
        <f aca="false">IF(M393=0,"No discount",IF(M393&lt;=0.2,"Low",IF(M393&lt;=0.4,"Medium","High")))</f>
        <v>Low</v>
      </c>
      <c r="W393" s="17" t="str">
        <f aca="false">IF(OR(B393="Same Day",B393="First Class"),"Fast","Standard")</f>
        <v>Standard</v>
      </c>
      <c r="X393" s="19" t="n">
        <f aca="false">ROUND(K393/L393,2)</f>
        <v>123.19</v>
      </c>
    </row>
    <row r="394" customFormat="false" ht="15" hidden="false" customHeight="false" outlineLevel="0" collapsed="false">
      <c r="A394" s="14" t="n">
        <v>393</v>
      </c>
      <c r="B394" s="14" t="s">
        <v>127</v>
      </c>
      <c r="C394" s="14" t="s">
        <v>7</v>
      </c>
      <c r="D394" s="14" t="s">
        <v>128</v>
      </c>
      <c r="E394" s="14" t="s">
        <v>283</v>
      </c>
      <c r="F394" s="14" t="s">
        <v>152</v>
      </c>
      <c r="G394" s="14" t="n">
        <v>98198</v>
      </c>
      <c r="H394" s="14" t="s">
        <v>3</v>
      </c>
      <c r="I394" s="14" t="s">
        <v>5</v>
      </c>
      <c r="J394" s="14" t="s">
        <v>271</v>
      </c>
      <c r="K394" s="15" t="n">
        <v>1799.97</v>
      </c>
      <c r="L394" s="14" t="n">
        <v>3</v>
      </c>
      <c r="M394" s="16" t="n">
        <v>0</v>
      </c>
      <c r="N394" s="15" t="n">
        <v>701.9883</v>
      </c>
      <c r="O394" s="17" t="str">
        <f aca="false">UPPER(LEFT(F394,3))&amp;"-"&amp;G394</f>
        <v>WAS-98198</v>
      </c>
      <c r="P394" s="17" t="str">
        <f aca="false">PROPER(TRIM(E394))</f>
        <v>Des Moines</v>
      </c>
      <c r="Q394" s="17" t="str">
        <f aca="false">IFERROR(VLOOKUP(F394,Lookups!$A$2:$B$50,2,FALSE()),"Not found")</f>
        <v>West</v>
      </c>
      <c r="R394" s="17" t="str">
        <f aca="false">IF(Q394=H394,"Match","Mismatch")</f>
        <v>Match</v>
      </c>
      <c r="S394" s="17" t="str">
        <f aca="false">IFERROR(INDEX(SubCatCat,MATCH(J394,SubCatName,0)),"Not found")</f>
        <v>Technology</v>
      </c>
      <c r="T394" s="18" t="n">
        <f aca="false">IF(K394=0,0,N394/K394)</f>
        <v>0.39</v>
      </c>
      <c r="U394" s="17" t="str">
        <f aca="false">IF(N394&lt;0,"Loss",IF(T394&gt;=0.2,"High margin","Normal"))</f>
        <v>High margin</v>
      </c>
      <c r="V394" s="17" t="str">
        <f aca="false">IF(M394=0,"No discount",IF(M394&lt;=0.2,"Low",IF(M394&lt;=0.4,"Medium","High")))</f>
        <v>No discount</v>
      </c>
      <c r="W394" s="17" t="str">
        <f aca="false">IF(OR(B394="Same Day",B394="First Class"),"Fast","Standard")</f>
        <v>Standard</v>
      </c>
      <c r="X394" s="19" t="n">
        <f aca="false">ROUND(K394/L394,2)</f>
        <v>599.99</v>
      </c>
    </row>
    <row r="395" customFormat="false" ht="15" hidden="false" customHeight="false" outlineLevel="0" collapsed="false">
      <c r="A395" s="14" t="n">
        <v>394</v>
      </c>
      <c r="B395" s="14" t="s">
        <v>127</v>
      </c>
      <c r="C395" s="14" t="s">
        <v>135</v>
      </c>
      <c r="D395" s="14" t="s">
        <v>128</v>
      </c>
      <c r="E395" s="14" t="s">
        <v>284</v>
      </c>
      <c r="F395" s="14" t="s">
        <v>174</v>
      </c>
      <c r="G395" s="14" t="n">
        <v>61604</v>
      </c>
      <c r="H395" s="14" t="s">
        <v>156</v>
      </c>
      <c r="I395" s="14" t="s">
        <v>137</v>
      </c>
      <c r="J395" s="14" t="s">
        <v>146</v>
      </c>
      <c r="K395" s="15" t="n">
        <v>12.462</v>
      </c>
      <c r="L395" s="14" t="n">
        <v>3</v>
      </c>
      <c r="M395" s="16" t="n">
        <v>0.8</v>
      </c>
      <c r="N395" s="15" t="n">
        <v>-20.5623</v>
      </c>
      <c r="O395" s="17" t="str">
        <f aca="false">UPPER(LEFT(F395,3))&amp;"-"&amp;G395</f>
        <v>ILL-61604</v>
      </c>
      <c r="P395" s="17" t="str">
        <f aca="false">PROPER(TRIM(E395))</f>
        <v>Peoria</v>
      </c>
      <c r="Q395" s="17" t="str">
        <f aca="false">IFERROR(VLOOKUP(F395,Lookups!$A$2:$B$50,2,FALSE()),"Not found")</f>
        <v>Central</v>
      </c>
      <c r="R395" s="17" t="str">
        <f aca="false">IF(Q395=H395,"Match","Mismatch")</f>
        <v>Match</v>
      </c>
      <c r="S395" s="17" t="str">
        <f aca="false">IFERROR(INDEX(SubCatCat,MATCH(J395,SubCatName,0)),"Not found")</f>
        <v>Office Supplies</v>
      </c>
      <c r="T395" s="18" t="n">
        <f aca="false">IF(K395=0,0,N395/K395)</f>
        <v>-1.65</v>
      </c>
      <c r="U395" s="17" t="str">
        <f aca="false">IF(N395&lt;0,"Loss",IF(T395&gt;=0.2,"High margin","Normal"))</f>
        <v>Loss</v>
      </c>
      <c r="V395" s="17" t="str">
        <f aca="false">IF(M395=0,"No discount",IF(M395&lt;=0.2,"Low",IF(M395&lt;=0.4,"Medium","High")))</f>
        <v>High</v>
      </c>
      <c r="W395" s="17" t="str">
        <f aca="false">IF(OR(B395="Same Day",B395="First Class"),"Fast","Standard")</f>
        <v>Standard</v>
      </c>
      <c r="X395" s="19" t="n">
        <f aca="false">ROUND(K395/L395,2)</f>
        <v>4.15</v>
      </c>
    </row>
    <row r="396" customFormat="false" ht="15" hidden="false" customHeight="false" outlineLevel="0" collapsed="false">
      <c r="A396" s="14" t="n">
        <v>395</v>
      </c>
      <c r="B396" s="14" t="s">
        <v>139</v>
      </c>
      <c r="C396" s="14" t="s">
        <v>153</v>
      </c>
      <c r="D396" s="14" t="s">
        <v>128</v>
      </c>
      <c r="E396" s="14" t="s">
        <v>285</v>
      </c>
      <c r="F396" s="14" t="s">
        <v>286</v>
      </c>
      <c r="G396" s="14" t="n">
        <v>89115</v>
      </c>
      <c r="H396" s="14" t="s">
        <v>3</v>
      </c>
      <c r="I396" s="14" t="s">
        <v>137</v>
      </c>
      <c r="J396" s="14" t="s">
        <v>146</v>
      </c>
      <c r="K396" s="15" t="n">
        <v>75.792</v>
      </c>
      <c r="L396" s="14" t="n">
        <v>3</v>
      </c>
      <c r="M396" s="16" t="n">
        <v>0.2</v>
      </c>
      <c r="N396" s="15" t="n">
        <v>25.5798</v>
      </c>
      <c r="O396" s="17" t="str">
        <f aca="false">UPPER(LEFT(F396,3))&amp;"-"&amp;G396</f>
        <v>NEV-89115</v>
      </c>
      <c r="P396" s="17" t="str">
        <f aca="false">PROPER(TRIM(E396))</f>
        <v>Las Vegas</v>
      </c>
      <c r="Q396" s="17" t="str">
        <f aca="false">IFERROR(VLOOKUP(F396,Lookups!$A$2:$B$50,2,FALSE()),"Not found")</f>
        <v>West</v>
      </c>
      <c r="R396" s="17" t="str">
        <f aca="false">IF(Q396=H396,"Match","Mismatch")</f>
        <v>Match</v>
      </c>
      <c r="S396" s="17" t="str">
        <f aca="false">IFERROR(INDEX(SubCatCat,MATCH(J396,SubCatName,0)),"Not found")</f>
        <v>Office Supplies</v>
      </c>
      <c r="T396" s="18" t="n">
        <f aca="false">IF(K396=0,0,N396/K396)</f>
        <v>0.3375</v>
      </c>
      <c r="U396" s="17" t="str">
        <f aca="false">IF(N396&lt;0,"Loss",IF(T396&gt;=0.2,"High margin","Normal"))</f>
        <v>High margin</v>
      </c>
      <c r="V396" s="17" t="str">
        <f aca="false">IF(M396=0,"No discount",IF(M396&lt;=0.2,"Low",IF(M396&lt;=0.4,"Medium","High")))</f>
        <v>Low</v>
      </c>
      <c r="W396" s="17" t="str">
        <f aca="false">IF(OR(B396="Same Day",B396="First Class"),"Fast","Standard")</f>
        <v>Standard</v>
      </c>
      <c r="X396" s="19" t="n">
        <f aca="false">ROUND(K396/L396,2)</f>
        <v>25.26</v>
      </c>
    </row>
    <row r="397" customFormat="false" ht="15" hidden="false" customHeight="false" outlineLevel="0" collapsed="false">
      <c r="A397" s="14" t="n">
        <v>396</v>
      </c>
      <c r="B397" s="14" t="s">
        <v>127</v>
      </c>
      <c r="C397" s="14" t="s">
        <v>135</v>
      </c>
      <c r="D397" s="14" t="s">
        <v>128</v>
      </c>
      <c r="E397" s="14" t="s">
        <v>287</v>
      </c>
      <c r="F397" s="14" t="s">
        <v>288</v>
      </c>
      <c r="G397" s="14" t="n">
        <v>2886</v>
      </c>
      <c r="H397" s="14" t="s">
        <v>166</v>
      </c>
      <c r="I397" s="14" t="s">
        <v>137</v>
      </c>
      <c r="J397" s="14" t="s">
        <v>143</v>
      </c>
      <c r="K397" s="15" t="n">
        <v>49.96</v>
      </c>
      <c r="L397" s="14" t="n">
        <v>2</v>
      </c>
      <c r="M397" s="16" t="n">
        <v>0</v>
      </c>
      <c r="N397" s="15" t="n">
        <v>9.4924</v>
      </c>
      <c r="O397" s="17" t="str">
        <f aca="false">UPPER(LEFT(F397,3))&amp;"-"&amp;G397</f>
        <v>RHO-2886</v>
      </c>
      <c r="P397" s="17" t="str">
        <f aca="false">PROPER(TRIM(E397))</f>
        <v>Warwick</v>
      </c>
      <c r="Q397" s="17" t="str">
        <f aca="false">IFERROR(VLOOKUP(F397,Lookups!$A$2:$B$50,2,FALSE()),"Not found")</f>
        <v>East</v>
      </c>
      <c r="R397" s="17" t="str">
        <f aca="false">IF(Q397=H397,"Match","Mismatch")</f>
        <v>Match</v>
      </c>
      <c r="S397" s="17" t="str">
        <f aca="false">IFERROR(INDEX(SubCatCat,MATCH(J397,SubCatName,0)),"Not found")</f>
        <v>Office Supplies</v>
      </c>
      <c r="T397" s="18" t="n">
        <f aca="false">IF(K397=0,0,N397/K397)</f>
        <v>0.19</v>
      </c>
      <c r="U397" s="17" t="str">
        <f aca="false">IF(N397&lt;0,"Loss",IF(T397&gt;=0.2,"High margin","Normal"))</f>
        <v>Normal</v>
      </c>
      <c r="V397" s="17" t="str">
        <f aca="false">IF(M397=0,"No discount",IF(M397&lt;=0.2,"Low",IF(M397&lt;=0.4,"Medium","High")))</f>
        <v>No discount</v>
      </c>
      <c r="W397" s="17" t="str">
        <f aca="false">IF(OR(B397="Same Day",B397="First Class"),"Fast","Standard")</f>
        <v>Standard</v>
      </c>
      <c r="X397" s="19" t="n">
        <f aca="false">ROUND(K397/L397,2)</f>
        <v>24.98</v>
      </c>
    </row>
    <row r="398" customFormat="false" ht="15" hidden="false" customHeight="false" outlineLevel="0" collapsed="false">
      <c r="A398" s="14" t="n">
        <v>397</v>
      </c>
      <c r="B398" s="14" t="s">
        <v>127</v>
      </c>
      <c r="C398" s="14" t="s">
        <v>135</v>
      </c>
      <c r="D398" s="14" t="s">
        <v>128</v>
      </c>
      <c r="E398" s="14" t="s">
        <v>287</v>
      </c>
      <c r="F398" s="14" t="s">
        <v>288</v>
      </c>
      <c r="G398" s="14" t="n">
        <v>2886</v>
      </c>
      <c r="H398" s="14" t="s">
        <v>166</v>
      </c>
      <c r="I398" s="14" t="s">
        <v>137</v>
      </c>
      <c r="J398" s="14" t="s">
        <v>150</v>
      </c>
      <c r="K398" s="15" t="n">
        <v>12.96</v>
      </c>
      <c r="L398" s="14" t="n">
        <v>2</v>
      </c>
      <c r="M398" s="16" t="n">
        <v>0</v>
      </c>
      <c r="N398" s="15" t="n">
        <v>6.2208</v>
      </c>
      <c r="O398" s="17" t="str">
        <f aca="false">UPPER(LEFT(F398,3))&amp;"-"&amp;G398</f>
        <v>RHO-2886</v>
      </c>
      <c r="P398" s="17" t="str">
        <f aca="false">PROPER(TRIM(E398))</f>
        <v>Warwick</v>
      </c>
      <c r="Q398" s="17" t="str">
        <f aca="false">IFERROR(VLOOKUP(F398,Lookups!$A$2:$B$50,2,FALSE()),"Not found")</f>
        <v>East</v>
      </c>
      <c r="R398" s="17" t="str">
        <f aca="false">IF(Q398=H398,"Match","Mismatch")</f>
        <v>Match</v>
      </c>
      <c r="S398" s="17" t="str">
        <f aca="false">IFERROR(INDEX(SubCatCat,MATCH(J398,SubCatName,0)),"Not found")</f>
        <v>Office Supplies</v>
      </c>
      <c r="T398" s="18" t="n">
        <f aca="false">IF(K398=0,0,N398/K398)</f>
        <v>0.48</v>
      </c>
      <c r="U398" s="17" t="str">
        <f aca="false">IF(N398&lt;0,"Loss",IF(T398&gt;=0.2,"High margin","Normal"))</f>
        <v>High margin</v>
      </c>
      <c r="V398" s="17" t="str">
        <f aca="false">IF(M398=0,"No discount",IF(M398&lt;=0.2,"Low",IF(M398&lt;=0.4,"Medium","High")))</f>
        <v>No discount</v>
      </c>
      <c r="W398" s="17" t="str">
        <f aca="false">IF(OR(B398="Same Day",B398="First Class"),"Fast","Standard")</f>
        <v>Standard</v>
      </c>
      <c r="X398" s="19" t="n">
        <f aca="false">ROUND(K398/L398,2)</f>
        <v>6.48</v>
      </c>
    </row>
    <row r="399" customFormat="false" ht="15" hidden="false" customHeight="false" outlineLevel="0" collapsed="false">
      <c r="A399" s="14" t="n">
        <v>398</v>
      </c>
      <c r="B399" s="14" t="s">
        <v>139</v>
      </c>
      <c r="C399" s="14" t="s">
        <v>153</v>
      </c>
      <c r="D399" s="14" t="s">
        <v>128</v>
      </c>
      <c r="E399" s="14" t="s">
        <v>193</v>
      </c>
      <c r="F399" s="14" t="s">
        <v>179</v>
      </c>
      <c r="G399" s="14" t="n">
        <v>49201</v>
      </c>
      <c r="H399" s="14" t="s">
        <v>156</v>
      </c>
      <c r="I399" s="14" t="s">
        <v>137</v>
      </c>
      <c r="J399" s="14" t="s">
        <v>219</v>
      </c>
      <c r="K399" s="15" t="n">
        <v>70.12</v>
      </c>
      <c r="L399" s="14" t="n">
        <v>4</v>
      </c>
      <c r="M399" s="16" t="n">
        <v>0</v>
      </c>
      <c r="N399" s="15" t="n">
        <v>21.036</v>
      </c>
      <c r="O399" s="17" t="str">
        <f aca="false">UPPER(LEFT(F399,3))&amp;"-"&amp;G399</f>
        <v>MIC-49201</v>
      </c>
      <c r="P399" s="17" t="str">
        <f aca="false">PROPER(TRIM(E399))</f>
        <v>Jackson</v>
      </c>
      <c r="Q399" s="17" t="str">
        <f aca="false">IFERROR(VLOOKUP(F399,Lookups!$A$2:$B$50,2,FALSE()),"Not found")</f>
        <v>Central</v>
      </c>
      <c r="R399" s="17" t="str">
        <f aca="false">IF(Q399=H399,"Match","Mismatch")</f>
        <v>Match</v>
      </c>
      <c r="S399" s="17" t="str">
        <f aca="false">IFERROR(INDEX(SubCatCat,MATCH(J399,SubCatName,0)),"Not found")</f>
        <v>Office Supplies</v>
      </c>
      <c r="T399" s="18" t="n">
        <f aca="false">IF(K399=0,0,N399/K399)</f>
        <v>0.3</v>
      </c>
      <c r="U399" s="17" t="str">
        <f aca="false">IF(N399&lt;0,"Loss",IF(T399&gt;=0.2,"High margin","Normal"))</f>
        <v>High margin</v>
      </c>
      <c r="V399" s="17" t="str">
        <f aca="false">IF(M399=0,"No discount",IF(M399&lt;=0.2,"Low",IF(M399&lt;=0.4,"Medium","High")))</f>
        <v>No discount</v>
      </c>
      <c r="W399" s="17" t="str">
        <f aca="false">IF(OR(B399="Same Day",B399="First Class"),"Fast","Standard")</f>
        <v>Standard</v>
      </c>
      <c r="X399" s="19" t="n">
        <f aca="false">ROUND(K399/L399,2)</f>
        <v>17.53</v>
      </c>
    </row>
    <row r="400" customFormat="false" ht="15" hidden="false" customHeight="false" outlineLevel="0" collapsed="false">
      <c r="A400" s="14" t="n">
        <v>399</v>
      </c>
      <c r="B400" s="14" t="s">
        <v>127</v>
      </c>
      <c r="C400" s="14" t="s">
        <v>7</v>
      </c>
      <c r="D400" s="14" t="s">
        <v>128</v>
      </c>
      <c r="E400" s="14" t="s">
        <v>170</v>
      </c>
      <c r="F400" s="14" t="s">
        <v>155</v>
      </c>
      <c r="G400" s="14" t="n">
        <v>77036</v>
      </c>
      <c r="H400" s="14" t="s">
        <v>156</v>
      </c>
      <c r="I400" s="14" t="s">
        <v>137</v>
      </c>
      <c r="J400" s="14" t="s">
        <v>143</v>
      </c>
      <c r="K400" s="15" t="n">
        <v>35.952</v>
      </c>
      <c r="L400" s="14" t="n">
        <v>3</v>
      </c>
      <c r="M400" s="16" t="n">
        <v>0.2</v>
      </c>
      <c r="N400" s="15" t="n">
        <v>3.5952</v>
      </c>
      <c r="O400" s="17" t="str">
        <f aca="false">UPPER(LEFT(F400,3))&amp;"-"&amp;G400</f>
        <v>TEX-77036</v>
      </c>
      <c r="P400" s="17" t="str">
        <f aca="false">PROPER(TRIM(E400))</f>
        <v>Houston</v>
      </c>
      <c r="Q400" s="17" t="str">
        <f aca="false">IFERROR(VLOOKUP(F400,Lookups!$A$2:$B$50,2,FALSE()),"Not found")</f>
        <v>Central</v>
      </c>
      <c r="R400" s="17" t="str">
        <f aca="false">IF(Q400=H400,"Match","Mismatch")</f>
        <v>Match</v>
      </c>
      <c r="S400" s="17" t="str">
        <f aca="false">IFERROR(INDEX(SubCatCat,MATCH(J400,SubCatName,0)),"Not found")</f>
        <v>Office Supplies</v>
      </c>
      <c r="T400" s="18" t="n">
        <f aca="false">IF(K400=0,0,N400/K400)</f>
        <v>0.1</v>
      </c>
      <c r="U400" s="17" t="str">
        <f aca="false">IF(N400&lt;0,"Loss",IF(T400&gt;=0.2,"High margin","Normal"))</f>
        <v>Normal</v>
      </c>
      <c r="V400" s="17" t="str">
        <f aca="false">IF(M400=0,"No discount",IF(M400&lt;=0.2,"Low",IF(M400&lt;=0.4,"Medium","High")))</f>
        <v>Low</v>
      </c>
      <c r="W400" s="17" t="str">
        <f aca="false">IF(OR(B400="Same Day",B400="First Class"),"Fast","Standard")</f>
        <v>Standard</v>
      </c>
      <c r="X400" s="19" t="n">
        <f aca="false">ROUND(K400/L400,2)</f>
        <v>11.98</v>
      </c>
    </row>
    <row r="401" customFormat="false" ht="15" hidden="false" customHeight="false" outlineLevel="0" collapsed="false">
      <c r="A401" s="14" t="n">
        <v>400</v>
      </c>
      <c r="B401" s="14" t="s">
        <v>127</v>
      </c>
      <c r="C401" s="14" t="s">
        <v>7</v>
      </c>
      <c r="D401" s="14" t="s">
        <v>128</v>
      </c>
      <c r="E401" s="14" t="s">
        <v>170</v>
      </c>
      <c r="F401" s="14" t="s">
        <v>155</v>
      </c>
      <c r="G401" s="14" t="n">
        <v>77036</v>
      </c>
      <c r="H401" s="14" t="s">
        <v>156</v>
      </c>
      <c r="I401" s="14" t="s">
        <v>132</v>
      </c>
      <c r="J401" s="14" t="s">
        <v>133</v>
      </c>
      <c r="K401" s="15" t="n">
        <v>2396.2656</v>
      </c>
      <c r="L401" s="14" t="n">
        <v>4</v>
      </c>
      <c r="M401" s="16" t="n">
        <v>0.32</v>
      </c>
      <c r="N401" s="15" t="n">
        <v>-317.1528</v>
      </c>
      <c r="O401" s="17" t="str">
        <f aca="false">UPPER(LEFT(F401,3))&amp;"-"&amp;G401</f>
        <v>TEX-77036</v>
      </c>
      <c r="P401" s="17" t="str">
        <f aca="false">PROPER(TRIM(E401))</f>
        <v>Houston</v>
      </c>
      <c r="Q401" s="17" t="str">
        <f aca="false">IFERROR(VLOOKUP(F401,Lookups!$A$2:$B$50,2,FALSE()),"Not found")</f>
        <v>Central</v>
      </c>
      <c r="R401" s="17" t="str">
        <f aca="false">IF(Q401=H401,"Match","Mismatch")</f>
        <v>Match</v>
      </c>
      <c r="S401" s="17" t="str">
        <f aca="false">IFERROR(INDEX(SubCatCat,MATCH(J401,SubCatName,0)),"Not found")</f>
        <v>Furniture</v>
      </c>
      <c r="T401" s="18" t="n">
        <f aca="false">IF(K401=0,0,N401/K401)</f>
        <v>-0.132352941176471</v>
      </c>
      <c r="U401" s="17" t="str">
        <f aca="false">IF(N401&lt;0,"Loss",IF(T401&gt;=0.2,"High margin","Normal"))</f>
        <v>Loss</v>
      </c>
      <c r="V401" s="17" t="str">
        <f aca="false">IF(M401=0,"No discount",IF(M401&lt;=0.2,"Low",IF(M401&lt;=0.4,"Medium","High")))</f>
        <v>Medium</v>
      </c>
      <c r="W401" s="17" t="str">
        <f aca="false">IF(OR(B401="Same Day",B401="First Class"),"Fast","Standard")</f>
        <v>Standard</v>
      </c>
      <c r="X401" s="19" t="n">
        <f aca="false">ROUND(K401/L401,2)</f>
        <v>599.07</v>
      </c>
    </row>
    <row r="402" customFormat="false" ht="15" hidden="false" customHeight="false" outlineLevel="0" collapsed="false">
      <c r="A402" s="14" t="n">
        <v>401</v>
      </c>
      <c r="B402" s="14" t="s">
        <v>127</v>
      </c>
      <c r="C402" s="14" t="s">
        <v>7</v>
      </c>
      <c r="D402" s="14" t="s">
        <v>128</v>
      </c>
      <c r="E402" s="14" t="s">
        <v>170</v>
      </c>
      <c r="F402" s="14" t="s">
        <v>155</v>
      </c>
      <c r="G402" s="14" t="n">
        <v>77036</v>
      </c>
      <c r="H402" s="14" t="s">
        <v>156</v>
      </c>
      <c r="I402" s="14" t="s">
        <v>137</v>
      </c>
      <c r="J402" s="14" t="s">
        <v>143</v>
      </c>
      <c r="K402" s="15" t="n">
        <v>131.136</v>
      </c>
      <c r="L402" s="14" t="n">
        <v>4</v>
      </c>
      <c r="M402" s="16" t="n">
        <v>0.2</v>
      </c>
      <c r="N402" s="15" t="n">
        <v>-32.784</v>
      </c>
      <c r="O402" s="17" t="str">
        <f aca="false">UPPER(LEFT(F402,3))&amp;"-"&amp;G402</f>
        <v>TEX-77036</v>
      </c>
      <c r="P402" s="17" t="str">
        <f aca="false">PROPER(TRIM(E402))</f>
        <v>Houston</v>
      </c>
      <c r="Q402" s="17" t="str">
        <f aca="false">IFERROR(VLOOKUP(F402,Lookups!$A$2:$B$50,2,FALSE()),"Not found")</f>
        <v>Central</v>
      </c>
      <c r="R402" s="17" t="str">
        <f aca="false">IF(Q402=H402,"Match","Mismatch")</f>
        <v>Match</v>
      </c>
      <c r="S402" s="17" t="str">
        <f aca="false">IFERROR(INDEX(SubCatCat,MATCH(J402,SubCatName,0)),"Not found")</f>
        <v>Office Supplies</v>
      </c>
      <c r="T402" s="18" t="n">
        <f aca="false">IF(K402=0,0,N402/K402)</f>
        <v>-0.25</v>
      </c>
      <c r="U402" s="17" t="str">
        <f aca="false">IF(N402&lt;0,"Loss",IF(T402&gt;=0.2,"High margin","Normal"))</f>
        <v>Loss</v>
      </c>
      <c r="V402" s="17" t="str">
        <f aca="false">IF(M402=0,"No discount",IF(M402&lt;=0.2,"Low",IF(M402&lt;=0.4,"Medium","High")))</f>
        <v>Low</v>
      </c>
      <c r="W402" s="17" t="str">
        <f aca="false">IF(OR(B402="Same Day",B402="First Class"),"Fast","Standard")</f>
        <v>Standard</v>
      </c>
      <c r="X402" s="19" t="n">
        <f aca="false">ROUND(K402/L402,2)</f>
        <v>32.78</v>
      </c>
    </row>
    <row r="403" customFormat="false" ht="15" hidden="false" customHeight="false" outlineLevel="0" collapsed="false">
      <c r="A403" s="14" t="n">
        <v>402</v>
      </c>
      <c r="B403" s="14" t="s">
        <v>127</v>
      </c>
      <c r="C403" s="14" t="s">
        <v>7</v>
      </c>
      <c r="D403" s="14" t="s">
        <v>128</v>
      </c>
      <c r="E403" s="14" t="s">
        <v>170</v>
      </c>
      <c r="F403" s="14" t="s">
        <v>155</v>
      </c>
      <c r="G403" s="14" t="n">
        <v>77036</v>
      </c>
      <c r="H403" s="14" t="s">
        <v>156</v>
      </c>
      <c r="I403" s="14" t="s">
        <v>5</v>
      </c>
      <c r="J403" s="14" t="s">
        <v>168</v>
      </c>
      <c r="K403" s="15" t="n">
        <v>57.584</v>
      </c>
      <c r="L403" s="14" t="n">
        <v>2</v>
      </c>
      <c r="M403" s="16" t="n">
        <v>0.2</v>
      </c>
      <c r="N403" s="15" t="n">
        <v>0.7198</v>
      </c>
      <c r="O403" s="17" t="str">
        <f aca="false">UPPER(LEFT(F403,3))&amp;"-"&amp;G403</f>
        <v>TEX-77036</v>
      </c>
      <c r="P403" s="17" t="str">
        <f aca="false">PROPER(TRIM(E403))</f>
        <v>Houston</v>
      </c>
      <c r="Q403" s="17" t="str">
        <f aca="false">IFERROR(VLOOKUP(F403,Lookups!$A$2:$B$50,2,FALSE()),"Not found")</f>
        <v>Central</v>
      </c>
      <c r="R403" s="17" t="str">
        <f aca="false">IF(Q403=H403,"Match","Mismatch")</f>
        <v>Match</v>
      </c>
      <c r="S403" s="17" t="str">
        <f aca="false">IFERROR(INDEX(SubCatCat,MATCH(J403,SubCatName,0)),"Not found")</f>
        <v>Technology</v>
      </c>
      <c r="T403" s="18" t="n">
        <f aca="false">IF(K403=0,0,N403/K403)</f>
        <v>0.0125</v>
      </c>
      <c r="U403" s="17" t="str">
        <f aca="false">IF(N403&lt;0,"Loss",IF(T403&gt;=0.2,"High margin","Normal"))</f>
        <v>Normal</v>
      </c>
      <c r="V403" s="17" t="str">
        <f aca="false">IF(M403=0,"No discount",IF(M403&lt;=0.2,"Low",IF(M403&lt;=0.4,"Medium","High")))</f>
        <v>Low</v>
      </c>
      <c r="W403" s="17" t="str">
        <f aca="false">IF(OR(B403="Same Day",B403="First Class"),"Fast","Standard")</f>
        <v>Standard</v>
      </c>
      <c r="X403" s="19" t="n">
        <f aca="false">ROUND(K403/L403,2)</f>
        <v>28.79</v>
      </c>
    </row>
    <row r="404" customFormat="false" ht="15" hidden="false" customHeight="false" outlineLevel="0" collapsed="false">
      <c r="A404" s="14" t="n">
        <v>403</v>
      </c>
      <c r="B404" s="14" t="s">
        <v>171</v>
      </c>
      <c r="C404" s="14" t="s">
        <v>7</v>
      </c>
      <c r="D404" s="14" t="s">
        <v>128</v>
      </c>
      <c r="E404" s="14" t="s">
        <v>289</v>
      </c>
      <c r="F404" s="14" t="s">
        <v>141</v>
      </c>
      <c r="G404" s="14" t="n">
        <v>33180</v>
      </c>
      <c r="H404" s="14" t="s">
        <v>131</v>
      </c>
      <c r="I404" s="14" t="s">
        <v>137</v>
      </c>
      <c r="J404" s="14" t="s">
        <v>150</v>
      </c>
      <c r="K404" s="15" t="n">
        <v>9.568</v>
      </c>
      <c r="L404" s="14" t="n">
        <v>2</v>
      </c>
      <c r="M404" s="16" t="n">
        <v>0.2</v>
      </c>
      <c r="N404" s="15" t="n">
        <v>3.4684</v>
      </c>
      <c r="O404" s="17" t="str">
        <f aca="false">UPPER(LEFT(F404,3))&amp;"-"&amp;G404</f>
        <v>FLO-33180</v>
      </c>
      <c r="P404" s="17" t="str">
        <f aca="false">PROPER(TRIM(E404))</f>
        <v>Miami</v>
      </c>
      <c r="Q404" s="17" t="str">
        <f aca="false">IFERROR(VLOOKUP(F404,Lookups!$A$2:$B$50,2,FALSE()),"Not found")</f>
        <v>South</v>
      </c>
      <c r="R404" s="17" t="str">
        <f aca="false">IF(Q404=H404,"Match","Mismatch")</f>
        <v>Match</v>
      </c>
      <c r="S404" s="17" t="str">
        <f aca="false">IFERROR(INDEX(SubCatCat,MATCH(J404,SubCatName,0)),"Not found")</f>
        <v>Office Supplies</v>
      </c>
      <c r="T404" s="18" t="n">
        <f aca="false">IF(K404=0,0,N404/K404)</f>
        <v>0.3625</v>
      </c>
      <c r="U404" s="17" t="str">
        <f aca="false">IF(N404&lt;0,"Loss",IF(T404&gt;=0.2,"High margin","Normal"))</f>
        <v>High margin</v>
      </c>
      <c r="V404" s="17" t="str">
        <f aca="false">IF(M404=0,"No discount",IF(M404&lt;=0.2,"Low",IF(M404&lt;=0.4,"Medium","High")))</f>
        <v>Low</v>
      </c>
      <c r="W404" s="17" t="str">
        <f aca="false">IF(OR(B404="Same Day",B404="First Class"),"Fast","Standard")</f>
        <v>Fast</v>
      </c>
      <c r="X404" s="19" t="n">
        <f aca="false">ROUND(K404/L404,2)</f>
        <v>4.78</v>
      </c>
    </row>
    <row r="405" customFormat="false" ht="15" hidden="false" customHeight="false" outlineLevel="0" collapsed="false">
      <c r="A405" s="14" t="n">
        <v>404</v>
      </c>
      <c r="B405" s="14" t="s">
        <v>139</v>
      </c>
      <c r="C405" s="14" t="s">
        <v>135</v>
      </c>
      <c r="D405" s="14" t="s">
        <v>128</v>
      </c>
      <c r="E405" s="14" t="s">
        <v>215</v>
      </c>
      <c r="F405" s="14" t="s">
        <v>149</v>
      </c>
      <c r="G405" s="14" t="n">
        <v>28403</v>
      </c>
      <c r="H405" s="14" t="s">
        <v>131</v>
      </c>
      <c r="I405" s="14" t="s">
        <v>137</v>
      </c>
      <c r="J405" s="14" t="s">
        <v>145</v>
      </c>
      <c r="K405" s="15" t="n">
        <v>39.072</v>
      </c>
      <c r="L405" s="14" t="n">
        <v>6</v>
      </c>
      <c r="M405" s="16" t="n">
        <v>0.2</v>
      </c>
      <c r="N405" s="15" t="n">
        <v>9.768</v>
      </c>
      <c r="O405" s="17" t="str">
        <f aca="false">UPPER(LEFT(F405,3))&amp;"-"&amp;G405</f>
        <v>NOR-28403</v>
      </c>
      <c r="P405" s="17" t="str">
        <f aca="false">PROPER(TRIM(E405))</f>
        <v>Wilmington</v>
      </c>
      <c r="Q405" s="17" t="str">
        <f aca="false">IFERROR(VLOOKUP(F405,Lookups!$A$2:$B$50,2,FALSE()),"Not found")</f>
        <v>South</v>
      </c>
      <c r="R405" s="17" t="str">
        <f aca="false">IF(Q405=H405,"Match","Mismatch")</f>
        <v>Match</v>
      </c>
      <c r="S405" s="17" t="str">
        <f aca="false">IFERROR(INDEX(SubCatCat,MATCH(J405,SubCatName,0)),"Not found")</f>
        <v>Office Supplies</v>
      </c>
      <c r="T405" s="18" t="n">
        <f aca="false">IF(K405=0,0,N405/K405)</f>
        <v>0.25</v>
      </c>
      <c r="U405" s="17" t="str">
        <f aca="false">IF(N405&lt;0,"Loss",IF(T405&gt;=0.2,"High margin","Normal"))</f>
        <v>High margin</v>
      </c>
      <c r="V405" s="17" t="str">
        <f aca="false">IF(M405=0,"No discount",IF(M405&lt;=0.2,"Low",IF(M405&lt;=0.4,"Medium","High")))</f>
        <v>Low</v>
      </c>
      <c r="W405" s="17" t="str">
        <f aca="false">IF(OR(B405="Same Day",B405="First Class"),"Fast","Standard")</f>
        <v>Standard</v>
      </c>
      <c r="X405" s="19" t="n">
        <f aca="false">ROUND(K405/L405,2)</f>
        <v>6.51</v>
      </c>
    </row>
    <row r="406" customFormat="false" ht="15" hidden="false" customHeight="false" outlineLevel="0" collapsed="false">
      <c r="A406" s="14" t="n">
        <v>405</v>
      </c>
      <c r="B406" s="14" t="s">
        <v>139</v>
      </c>
      <c r="C406" s="14" t="s">
        <v>7</v>
      </c>
      <c r="D406" s="14" t="s">
        <v>128</v>
      </c>
      <c r="E406" s="14" t="s">
        <v>184</v>
      </c>
      <c r="F406" s="14" t="s">
        <v>185</v>
      </c>
      <c r="G406" s="14" t="n">
        <v>10024</v>
      </c>
      <c r="H406" s="14" t="s">
        <v>166</v>
      </c>
      <c r="I406" s="14" t="s">
        <v>137</v>
      </c>
      <c r="J406" s="14" t="s">
        <v>147</v>
      </c>
      <c r="K406" s="15" t="n">
        <v>35.91</v>
      </c>
      <c r="L406" s="14" t="n">
        <v>3</v>
      </c>
      <c r="M406" s="16" t="n">
        <v>0</v>
      </c>
      <c r="N406" s="15" t="n">
        <v>9.6957</v>
      </c>
      <c r="O406" s="17" t="str">
        <f aca="false">UPPER(LEFT(F406,3))&amp;"-"&amp;G406</f>
        <v>NEW-10024</v>
      </c>
      <c r="P406" s="17" t="str">
        <f aca="false">PROPER(TRIM(E406))</f>
        <v>New York City</v>
      </c>
      <c r="Q406" s="17" t="str">
        <f aca="false">IFERROR(VLOOKUP(F406,Lookups!$A$2:$B$50,2,FALSE()),"Not found")</f>
        <v>East</v>
      </c>
      <c r="R406" s="17" t="str">
        <f aca="false">IF(Q406=H406,"Match","Mismatch")</f>
        <v>Match</v>
      </c>
      <c r="S406" s="17" t="str">
        <f aca="false">IFERROR(INDEX(SubCatCat,MATCH(J406,SubCatName,0)),"Not found")</f>
        <v>Office Supplies</v>
      </c>
      <c r="T406" s="18" t="n">
        <f aca="false">IF(K406=0,0,N406/K406)</f>
        <v>0.27</v>
      </c>
      <c r="U406" s="17" t="str">
        <f aca="false">IF(N406&lt;0,"Loss",IF(T406&gt;=0.2,"High margin","Normal"))</f>
        <v>High margin</v>
      </c>
      <c r="V406" s="17" t="str">
        <f aca="false">IF(M406=0,"No discount",IF(M406&lt;=0.2,"Low",IF(M406&lt;=0.4,"Medium","High")))</f>
        <v>No discount</v>
      </c>
      <c r="W406" s="17" t="str">
        <f aca="false">IF(OR(B406="Same Day",B406="First Class"),"Fast","Standard")</f>
        <v>Standard</v>
      </c>
      <c r="X406" s="19" t="n">
        <f aca="false">ROUND(K406/L406,2)</f>
        <v>11.97</v>
      </c>
    </row>
    <row r="407" customFormat="false" ht="15" hidden="false" customHeight="false" outlineLevel="0" collapsed="false">
      <c r="A407" s="14" t="n">
        <v>406</v>
      </c>
      <c r="B407" s="14" t="s">
        <v>139</v>
      </c>
      <c r="C407" s="14" t="s">
        <v>7</v>
      </c>
      <c r="D407" s="14" t="s">
        <v>128</v>
      </c>
      <c r="E407" s="14" t="s">
        <v>161</v>
      </c>
      <c r="F407" s="14" t="s">
        <v>9</v>
      </c>
      <c r="G407" s="14" t="n">
        <v>94110</v>
      </c>
      <c r="H407" s="14" t="s">
        <v>3</v>
      </c>
      <c r="I407" s="14" t="s">
        <v>5</v>
      </c>
      <c r="J407" s="14" t="s">
        <v>168</v>
      </c>
      <c r="K407" s="15" t="n">
        <v>179.95</v>
      </c>
      <c r="L407" s="14" t="n">
        <v>5</v>
      </c>
      <c r="M407" s="16" t="n">
        <v>0</v>
      </c>
      <c r="N407" s="15" t="n">
        <v>37.7895</v>
      </c>
      <c r="O407" s="17" t="str">
        <f aca="false">UPPER(LEFT(F407,3))&amp;"-"&amp;G407</f>
        <v>CAL-94110</v>
      </c>
      <c r="P407" s="17" t="str">
        <f aca="false">PROPER(TRIM(E407))</f>
        <v>San Francisco</v>
      </c>
      <c r="Q407" s="17" t="str">
        <f aca="false">IFERROR(VLOOKUP(F407,Lookups!$A$2:$B$50,2,FALSE()),"Not found")</f>
        <v>West</v>
      </c>
      <c r="R407" s="17" t="str">
        <f aca="false">IF(Q407=H407,"Match","Mismatch")</f>
        <v>Match</v>
      </c>
      <c r="S407" s="17" t="str">
        <f aca="false">IFERROR(INDEX(SubCatCat,MATCH(J407,SubCatName,0)),"Not found")</f>
        <v>Technology</v>
      </c>
      <c r="T407" s="18" t="n">
        <f aca="false">IF(K407=0,0,N407/K407)</f>
        <v>0.21</v>
      </c>
      <c r="U407" s="17" t="str">
        <f aca="false">IF(N407&lt;0,"Loss",IF(T407&gt;=0.2,"High margin","Normal"))</f>
        <v>High margin</v>
      </c>
      <c r="V407" s="17" t="str">
        <f aca="false">IF(M407=0,"No discount",IF(M407&lt;=0.2,"Low",IF(M407&lt;=0.4,"Medium","High")))</f>
        <v>No discount</v>
      </c>
      <c r="W407" s="17" t="str">
        <f aca="false">IF(OR(B407="Same Day",B407="First Class"),"Fast","Standard")</f>
        <v>Standard</v>
      </c>
      <c r="X407" s="19" t="n">
        <f aca="false">ROUND(K407/L407,2)</f>
        <v>35.99</v>
      </c>
    </row>
    <row r="408" customFormat="false" ht="15" hidden="false" customHeight="false" outlineLevel="0" collapsed="false">
      <c r="A408" s="14" t="n">
        <v>407</v>
      </c>
      <c r="B408" s="14" t="s">
        <v>139</v>
      </c>
      <c r="C408" s="14" t="s">
        <v>7</v>
      </c>
      <c r="D408" s="14" t="s">
        <v>128</v>
      </c>
      <c r="E408" s="14" t="s">
        <v>161</v>
      </c>
      <c r="F408" s="14" t="s">
        <v>9</v>
      </c>
      <c r="G408" s="14" t="n">
        <v>94110</v>
      </c>
      <c r="H408" s="14" t="s">
        <v>3</v>
      </c>
      <c r="I408" s="14" t="s">
        <v>5</v>
      </c>
      <c r="J408" s="14" t="s">
        <v>271</v>
      </c>
      <c r="K408" s="15" t="n">
        <v>1199.976</v>
      </c>
      <c r="L408" s="14" t="n">
        <v>3</v>
      </c>
      <c r="M408" s="16" t="n">
        <v>0.2</v>
      </c>
      <c r="N408" s="15" t="n">
        <v>434.9913</v>
      </c>
      <c r="O408" s="17" t="str">
        <f aca="false">UPPER(LEFT(F408,3))&amp;"-"&amp;G408</f>
        <v>CAL-94110</v>
      </c>
      <c r="P408" s="17" t="str">
        <f aca="false">PROPER(TRIM(E408))</f>
        <v>San Francisco</v>
      </c>
      <c r="Q408" s="17" t="str">
        <f aca="false">IFERROR(VLOOKUP(F408,Lookups!$A$2:$B$50,2,FALSE()),"Not found")</f>
        <v>West</v>
      </c>
      <c r="R408" s="17" t="str">
        <f aca="false">IF(Q408=H408,"Match","Mismatch")</f>
        <v>Match</v>
      </c>
      <c r="S408" s="17" t="str">
        <f aca="false">IFERROR(INDEX(SubCatCat,MATCH(J408,SubCatName,0)),"Not found")</f>
        <v>Technology</v>
      </c>
      <c r="T408" s="18" t="n">
        <f aca="false">IF(K408=0,0,N408/K408)</f>
        <v>0.3625</v>
      </c>
      <c r="U408" s="17" t="str">
        <f aca="false">IF(N408&lt;0,"Loss",IF(T408&gt;=0.2,"High margin","Normal"))</f>
        <v>High margin</v>
      </c>
      <c r="V408" s="17" t="str">
        <f aca="false">IF(M408=0,"No discount",IF(M408&lt;=0.2,"Low",IF(M408&lt;=0.4,"Medium","High")))</f>
        <v>Low</v>
      </c>
      <c r="W408" s="17" t="str">
        <f aca="false">IF(OR(B408="Same Day",B408="First Class"),"Fast","Standard")</f>
        <v>Standard</v>
      </c>
      <c r="X408" s="19" t="n">
        <f aca="false">ROUND(K408/L408,2)</f>
        <v>399.99</v>
      </c>
    </row>
    <row r="409" customFormat="false" ht="15" hidden="false" customHeight="false" outlineLevel="0" collapsed="false">
      <c r="A409" s="14" t="n">
        <v>408</v>
      </c>
      <c r="B409" s="14" t="s">
        <v>139</v>
      </c>
      <c r="C409" s="14" t="s">
        <v>7</v>
      </c>
      <c r="D409" s="14" t="s">
        <v>128</v>
      </c>
      <c r="E409" s="14" t="s">
        <v>161</v>
      </c>
      <c r="F409" s="14" t="s">
        <v>9</v>
      </c>
      <c r="G409" s="14" t="n">
        <v>94110</v>
      </c>
      <c r="H409" s="14" t="s">
        <v>3</v>
      </c>
      <c r="I409" s="14" t="s">
        <v>137</v>
      </c>
      <c r="J409" s="14" t="s">
        <v>150</v>
      </c>
      <c r="K409" s="15" t="n">
        <v>27.15</v>
      </c>
      <c r="L409" s="14" t="n">
        <v>5</v>
      </c>
      <c r="M409" s="16" t="n">
        <v>0</v>
      </c>
      <c r="N409" s="15" t="n">
        <v>13.3035</v>
      </c>
      <c r="O409" s="17" t="str">
        <f aca="false">UPPER(LEFT(F409,3))&amp;"-"&amp;G409</f>
        <v>CAL-94110</v>
      </c>
      <c r="P409" s="17" t="str">
        <f aca="false">PROPER(TRIM(E409))</f>
        <v>San Francisco</v>
      </c>
      <c r="Q409" s="17" t="str">
        <f aca="false">IFERROR(VLOOKUP(F409,Lookups!$A$2:$B$50,2,FALSE()),"Not found")</f>
        <v>West</v>
      </c>
      <c r="R409" s="17" t="str">
        <f aca="false">IF(Q409=H409,"Match","Mismatch")</f>
        <v>Match</v>
      </c>
      <c r="S409" s="17" t="str">
        <f aca="false">IFERROR(INDEX(SubCatCat,MATCH(J409,SubCatName,0)),"Not found")</f>
        <v>Office Supplies</v>
      </c>
      <c r="T409" s="18" t="n">
        <f aca="false">IF(K409=0,0,N409/K409)</f>
        <v>0.49</v>
      </c>
      <c r="U409" s="17" t="str">
        <f aca="false">IF(N409&lt;0,"Loss",IF(T409&gt;=0.2,"High margin","Normal"))</f>
        <v>High margin</v>
      </c>
      <c r="V409" s="17" t="str">
        <f aca="false">IF(M409=0,"No discount",IF(M409&lt;=0.2,"Low",IF(M409&lt;=0.4,"Medium","High")))</f>
        <v>No discount</v>
      </c>
      <c r="W409" s="17" t="str">
        <f aca="false">IF(OR(B409="Same Day",B409="First Class"),"Fast","Standard")</f>
        <v>Standard</v>
      </c>
      <c r="X409" s="19" t="n">
        <f aca="false">ROUND(K409/L409,2)</f>
        <v>5.43</v>
      </c>
    </row>
    <row r="410" customFormat="false" ht="15" hidden="false" customHeight="false" outlineLevel="0" collapsed="false">
      <c r="A410" s="14" t="n">
        <v>409</v>
      </c>
      <c r="B410" s="14" t="s">
        <v>139</v>
      </c>
      <c r="C410" s="14" t="s">
        <v>7</v>
      </c>
      <c r="D410" s="14" t="s">
        <v>128</v>
      </c>
      <c r="E410" s="14" t="s">
        <v>161</v>
      </c>
      <c r="F410" s="14" t="s">
        <v>9</v>
      </c>
      <c r="G410" s="14" t="n">
        <v>94110</v>
      </c>
      <c r="H410" s="14" t="s">
        <v>3</v>
      </c>
      <c r="I410" s="14" t="s">
        <v>132</v>
      </c>
      <c r="J410" s="14" t="s">
        <v>142</v>
      </c>
      <c r="K410" s="15" t="n">
        <v>1004.024</v>
      </c>
      <c r="L410" s="14" t="n">
        <v>7</v>
      </c>
      <c r="M410" s="16" t="n">
        <v>0.2</v>
      </c>
      <c r="N410" s="15" t="n">
        <v>-112.9527</v>
      </c>
      <c r="O410" s="17" t="str">
        <f aca="false">UPPER(LEFT(F410,3))&amp;"-"&amp;G410</f>
        <v>CAL-94110</v>
      </c>
      <c r="P410" s="17" t="str">
        <f aca="false">PROPER(TRIM(E410))</f>
        <v>San Francisco</v>
      </c>
      <c r="Q410" s="17" t="str">
        <f aca="false">IFERROR(VLOOKUP(F410,Lookups!$A$2:$B$50,2,FALSE()),"Not found")</f>
        <v>West</v>
      </c>
      <c r="R410" s="17" t="str">
        <f aca="false">IF(Q410=H410,"Match","Mismatch")</f>
        <v>Match</v>
      </c>
      <c r="S410" s="17" t="str">
        <f aca="false">IFERROR(INDEX(SubCatCat,MATCH(J410,SubCatName,0)),"Not found")</f>
        <v>Furniture</v>
      </c>
      <c r="T410" s="18" t="n">
        <f aca="false">IF(K410=0,0,N410/K410)</f>
        <v>-0.1125</v>
      </c>
      <c r="U410" s="17" t="str">
        <f aca="false">IF(N410&lt;0,"Loss",IF(T410&gt;=0.2,"High margin","Normal"))</f>
        <v>Loss</v>
      </c>
      <c r="V410" s="17" t="str">
        <f aca="false">IF(M410=0,"No discount",IF(M410&lt;=0.2,"Low",IF(M410&lt;=0.4,"Medium","High")))</f>
        <v>Low</v>
      </c>
      <c r="W410" s="17" t="str">
        <f aca="false">IF(OR(B410="Same Day",B410="First Class"),"Fast","Standard")</f>
        <v>Standard</v>
      </c>
      <c r="X410" s="19" t="n">
        <f aca="false">ROUND(K410/L410,2)</f>
        <v>143.43</v>
      </c>
    </row>
    <row r="411" customFormat="false" ht="15" hidden="false" customHeight="false" outlineLevel="0" collapsed="false">
      <c r="A411" s="14" t="n">
        <v>410</v>
      </c>
      <c r="B411" s="14" t="s">
        <v>139</v>
      </c>
      <c r="C411" s="14" t="s">
        <v>7</v>
      </c>
      <c r="D411" s="14" t="s">
        <v>128</v>
      </c>
      <c r="E411" s="14" t="s">
        <v>161</v>
      </c>
      <c r="F411" s="14" t="s">
        <v>9</v>
      </c>
      <c r="G411" s="14" t="n">
        <v>94110</v>
      </c>
      <c r="H411" s="14" t="s">
        <v>3</v>
      </c>
      <c r="I411" s="14" t="s">
        <v>137</v>
      </c>
      <c r="J411" s="14" t="s">
        <v>150</v>
      </c>
      <c r="K411" s="15" t="n">
        <v>9.68</v>
      </c>
      <c r="L411" s="14" t="n">
        <v>1</v>
      </c>
      <c r="M411" s="16" t="n">
        <v>0</v>
      </c>
      <c r="N411" s="15" t="n">
        <v>4.6464</v>
      </c>
      <c r="O411" s="17" t="str">
        <f aca="false">UPPER(LEFT(F411,3))&amp;"-"&amp;G411</f>
        <v>CAL-94110</v>
      </c>
      <c r="P411" s="17" t="str">
        <f aca="false">PROPER(TRIM(E411))</f>
        <v>San Francisco</v>
      </c>
      <c r="Q411" s="17" t="str">
        <f aca="false">IFERROR(VLOOKUP(F411,Lookups!$A$2:$B$50,2,FALSE()),"Not found")</f>
        <v>West</v>
      </c>
      <c r="R411" s="17" t="str">
        <f aca="false">IF(Q411=H411,"Match","Mismatch")</f>
        <v>Match</v>
      </c>
      <c r="S411" s="17" t="str">
        <f aca="false">IFERROR(INDEX(SubCatCat,MATCH(J411,SubCatName,0)),"Not found")</f>
        <v>Office Supplies</v>
      </c>
      <c r="T411" s="18" t="n">
        <f aca="false">IF(K411=0,0,N411/K411)</f>
        <v>0.48</v>
      </c>
      <c r="U411" s="17" t="str">
        <f aca="false">IF(N411&lt;0,"Loss",IF(T411&gt;=0.2,"High margin","Normal"))</f>
        <v>High margin</v>
      </c>
      <c r="V411" s="17" t="str">
        <f aca="false">IF(M411=0,"No discount",IF(M411&lt;=0.2,"Low",IF(M411&lt;=0.4,"Medium","High")))</f>
        <v>No discount</v>
      </c>
      <c r="W411" s="17" t="str">
        <f aca="false">IF(OR(B411="Same Day",B411="First Class"),"Fast","Standard")</f>
        <v>Standard</v>
      </c>
      <c r="X411" s="19" t="n">
        <f aca="false">ROUND(K411/L411,2)</f>
        <v>9.68</v>
      </c>
    </row>
    <row r="412" customFormat="false" ht="15" hidden="false" customHeight="false" outlineLevel="0" collapsed="false">
      <c r="A412" s="14" t="n">
        <v>411</v>
      </c>
      <c r="B412" s="14" t="s">
        <v>139</v>
      </c>
      <c r="C412" s="14" t="s">
        <v>7</v>
      </c>
      <c r="D412" s="14" t="s">
        <v>128</v>
      </c>
      <c r="E412" s="14" t="s">
        <v>161</v>
      </c>
      <c r="F412" s="14" t="s">
        <v>9</v>
      </c>
      <c r="G412" s="14" t="n">
        <v>94110</v>
      </c>
      <c r="H412" s="14" t="s">
        <v>3</v>
      </c>
      <c r="I412" s="14" t="s">
        <v>137</v>
      </c>
      <c r="J412" s="14" t="s">
        <v>138</v>
      </c>
      <c r="K412" s="15" t="n">
        <v>28.35</v>
      </c>
      <c r="L412" s="14" t="n">
        <v>9</v>
      </c>
      <c r="M412" s="16" t="n">
        <v>0</v>
      </c>
      <c r="N412" s="15" t="n">
        <v>13.608</v>
      </c>
      <c r="O412" s="17" t="str">
        <f aca="false">UPPER(LEFT(F412,3))&amp;"-"&amp;G412</f>
        <v>CAL-94110</v>
      </c>
      <c r="P412" s="17" t="str">
        <f aca="false">PROPER(TRIM(E412))</f>
        <v>San Francisco</v>
      </c>
      <c r="Q412" s="17" t="str">
        <f aca="false">IFERROR(VLOOKUP(F412,Lookups!$A$2:$B$50,2,FALSE()),"Not found")</f>
        <v>West</v>
      </c>
      <c r="R412" s="17" t="str">
        <f aca="false">IF(Q412=H412,"Match","Mismatch")</f>
        <v>Match</v>
      </c>
      <c r="S412" s="17" t="str">
        <f aca="false">IFERROR(INDEX(SubCatCat,MATCH(J412,SubCatName,0)),"Not found")</f>
        <v>Office Supplies</v>
      </c>
      <c r="T412" s="18" t="n">
        <f aca="false">IF(K412=0,0,N412/K412)</f>
        <v>0.48</v>
      </c>
      <c r="U412" s="17" t="str">
        <f aca="false">IF(N412&lt;0,"Loss",IF(T412&gt;=0.2,"High margin","Normal"))</f>
        <v>High margin</v>
      </c>
      <c r="V412" s="17" t="str">
        <f aca="false">IF(M412=0,"No discount",IF(M412&lt;=0.2,"Low",IF(M412&lt;=0.4,"Medium","High")))</f>
        <v>No discount</v>
      </c>
      <c r="W412" s="17" t="str">
        <f aca="false">IF(OR(B412="Same Day",B412="First Class"),"Fast","Standard")</f>
        <v>Standard</v>
      </c>
      <c r="X412" s="19" t="n">
        <f aca="false">ROUND(K412/L412,2)</f>
        <v>3.15</v>
      </c>
    </row>
    <row r="413" customFormat="false" ht="15" hidden="false" customHeight="false" outlineLevel="0" collapsed="false">
      <c r="A413" s="14" t="n">
        <v>412</v>
      </c>
      <c r="B413" s="14" t="s">
        <v>139</v>
      </c>
      <c r="C413" s="14" t="s">
        <v>7</v>
      </c>
      <c r="D413" s="14" t="s">
        <v>128</v>
      </c>
      <c r="E413" s="14" t="s">
        <v>161</v>
      </c>
      <c r="F413" s="14" t="s">
        <v>9</v>
      </c>
      <c r="G413" s="14" t="n">
        <v>94110</v>
      </c>
      <c r="H413" s="14" t="s">
        <v>3</v>
      </c>
      <c r="I413" s="14" t="s">
        <v>137</v>
      </c>
      <c r="J413" s="14" t="s">
        <v>150</v>
      </c>
      <c r="K413" s="15" t="n">
        <v>55.98</v>
      </c>
      <c r="L413" s="14" t="n">
        <v>1</v>
      </c>
      <c r="M413" s="16" t="n">
        <v>0</v>
      </c>
      <c r="N413" s="15" t="n">
        <v>27.4302</v>
      </c>
      <c r="O413" s="17" t="str">
        <f aca="false">UPPER(LEFT(F413,3))&amp;"-"&amp;G413</f>
        <v>CAL-94110</v>
      </c>
      <c r="P413" s="17" t="str">
        <f aca="false">PROPER(TRIM(E413))</f>
        <v>San Francisco</v>
      </c>
      <c r="Q413" s="17" t="str">
        <f aca="false">IFERROR(VLOOKUP(F413,Lookups!$A$2:$B$50,2,FALSE()),"Not found")</f>
        <v>West</v>
      </c>
      <c r="R413" s="17" t="str">
        <f aca="false">IF(Q413=H413,"Match","Mismatch")</f>
        <v>Match</v>
      </c>
      <c r="S413" s="17" t="str">
        <f aca="false">IFERROR(INDEX(SubCatCat,MATCH(J413,SubCatName,0)),"Not found")</f>
        <v>Office Supplies</v>
      </c>
      <c r="T413" s="18" t="n">
        <f aca="false">IF(K413=0,0,N413/K413)</f>
        <v>0.49</v>
      </c>
      <c r="U413" s="17" t="str">
        <f aca="false">IF(N413&lt;0,"Loss",IF(T413&gt;=0.2,"High margin","Normal"))</f>
        <v>High margin</v>
      </c>
      <c r="V413" s="17" t="str">
        <f aca="false">IF(M413=0,"No discount",IF(M413&lt;=0.2,"Low",IF(M413&lt;=0.4,"Medium","High")))</f>
        <v>No discount</v>
      </c>
      <c r="W413" s="17" t="str">
        <f aca="false">IF(OR(B413="Same Day",B413="First Class"),"Fast","Standard")</f>
        <v>Standard</v>
      </c>
      <c r="X413" s="19" t="n">
        <f aca="false">ROUND(K413/L413,2)</f>
        <v>55.98</v>
      </c>
    </row>
    <row r="414" customFormat="false" ht="15" hidden="false" customHeight="false" outlineLevel="0" collapsed="false">
      <c r="A414" s="14" t="n">
        <v>413</v>
      </c>
      <c r="B414" s="14" t="s">
        <v>139</v>
      </c>
      <c r="C414" s="14" t="s">
        <v>7</v>
      </c>
      <c r="D414" s="14" t="s">
        <v>128</v>
      </c>
      <c r="E414" s="14" t="s">
        <v>161</v>
      </c>
      <c r="F414" s="14" t="s">
        <v>9</v>
      </c>
      <c r="G414" s="14" t="n">
        <v>94110</v>
      </c>
      <c r="H414" s="14" t="s">
        <v>3</v>
      </c>
      <c r="I414" s="14" t="s">
        <v>132</v>
      </c>
      <c r="J414" s="14" t="s">
        <v>133</v>
      </c>
      <c r="K414" s="15" t="n">
        <v>1336.829</v>
      </c>
      <c r="L414" s="14" t="n">
        <v>13</v>
      </c>
      <c r="M414" s="16" t="n">
        <v>0.15</v>
      </c>
      <c r="N414" s="15" t="n">
        <v>31.4548</v>
      </c>
      <c r="O414" s="17" t="str">
        <f aca="false">UPPER(LEFT(F414,3))&amp;"-"&amp;G414</f>
        <v>CAL-94110</v>
      </c>
      <c r="P414" s="17" t="str">
        <f aca="false">PROPER(TRIM(E414))</f>
        <v>San Francisco</v>
      </c>
      <c r="Q414" s="17" t="str">
        <f aca="false">IFERROR(VLOOKUP(F414,Lookups!$A$2:$B$50,2,FALSE()),"Not found")</f>
        <v>West</v>
      </c>
      <c r="R414" s="17" t="str">
        <f aca="false">IF(Q414=H414,"Match","Mismatch")</f>
        <v>Match</v>
      </c>
      <c r="S414" s="17" t="str">
        <f aca="false">IFERROR(INDEX(SubCatCat,MATCH(J414,SubCatName,0)),"Not found")</f>
        <v>Furniture</v>
      </c>
      <c r="T414" s="18" t="n">
        <f aca="false">IF(K414=0,0,N414/K414)</f>
        <v>0.0235294117647059</v>
      </c>
      <c r="U414" s="17" t="str">
        <f aca="false">IF(N414&lt;0,"Loss",IF(T414&gt;=0.2,"High margin","Normal"))</f>
        <v>Normal</v>
      </c>
      <c r="V414" s="17" t="str">
        <f aca="false">IF(M414=0,"No discount",IF(M414&lt;=0.2,"Low",IF(M414&lt;=0.4,"Medium","High")))</f>
        <v>Low</v>
      </c>
      <c r="W414" s="17" t="str">
        <f aca="false">IF(OR(B414="Same Day",B414="First Class"),"Fast","Standard")</f>
        <v>Standard</v>
      </c>
      <c r="X414" s="19" t="n">
        <f aca="false">ROUND(K414/L414,2)</f>
        <v>102.83</v>
      </c>
    </row>
    <row r="415" customFormat="false" ht="15" hidden="false" customHeight="false" outlineLevel="0" collapsed="false">
      <c r="A415" s="14" t="n">
        <v>414</v>
      </c>
      <c r="B415" s="14" t="s">
        <v>139</v>
      </c>
      <c r="C415" s="14" t="s">
        <v>7</v>
      </c>
      <c r="D415" s="14" t="s">
        <v>128</v>
      </c>
      <c r="E415" s="14" t="s">
        <v>161</v>
      </c>
      <c r="F415" s="14" t="s">
        <v>9</v>
      </c>
      <c r="G415" s="14" t="n">
        <v>94110</v>
      </c>
      <c r="H415" s="14" t="s">
        <v>3</v>
      </c>
      <c r="I415" s="14" t="s">
        <v>132</v>
      </c>
      <c r="J415" s="14" t="s">
        <v>134</v>
      </c>
      <c r="K415" s="15" t="n">
        <v>113.568</v>
      </c>
      <c r="L415" s="14" t="n">
        <v>2</v>
      </c>
      <c r="M415" s="16" t="n">
        <v>0.2</v>
      </c>
      <c r="N415" s="15" t="n">
        <v>-18.4548</v>
      </c>
      <c r="O415" s="17" t="str">
        <f aca="false">UPPER(LEFT(F415,3))&amp;"-"&amp;G415</f>
        <v>CAL-94110</v>
      </c>
      <c r="P415" s="17" t="str">
        <f aca="false">PROPER(TRIM(E415))</f>
        <v>San Francisco</v>
      </c>
      <c r="Q415" s="17" t="str">
        <f aca="false">IFERROR(VLOOKUP(F415,Lookups!$A$2:$B$50,2,FALSE()),"Not found")</f>
        <v>West</v>
      </c>
      <c r="R415" s="17" t="str">
        <f aca="false">IF(Q415=H415,"Match","Mismatch")</f>
        <v>Match</v>
      </c>
      <c r="S415" s="17" t="str">
        <f aca="false">IFERROR(INDEX(SubCatCat,MATCH(J415,SubCatName,0)),"Not found")</f>
        <v>Furniture</v>
      </c>
      <c r="T415" s="18" t="n">
        <f aca="false">IF(K415=0,0,N415/K415)</f>
        <v>-0.1625</v>
      </c>
      <c r="U415" s="17" t="str">
        <f aca="false">IF(N415&lt;0,"Loss",IF(T415&gt;=0.2,"High margin","Normal"))</f>
        <v>Loss</v>
      </c>
      <c r="V415" s="17" t="str">
        <f aca="false">IF(M415=0,"No discount",IF(M415&lt;=0.2,"Low",IF(M415&lt;=0.4,"Medium","High")))</f>
        <v>Low</v>
      </c>
      <c r="W415" s="17" t="str">
        <f aca="false">IF(OR(B415="Same Day",B415="First Class"),"Fast","Standard")</f>
        <v>Standard</v>
      </c>
      <c r="X415" s="19" t="n">
        <f aca="false">ROUND(K415/L415,2)</f>
        <v>56.78</v>
      </c>
    </row>
    <row r="416" customFormat="false" ht="15" hidden="false" customHeight="false" outlineLevel="0" collapsed="false">
      <c r="A416" s="14" t="n">
        <v>415</v>
      </c>
      <c r="B416" s="14" t="s">
        <v>139</v>
      </c>
      <c r="C416" s="14" t="s">
        <v>135</v>
      </c>
      <c r="D416" s="14" t="s">
        <v>128</v>
      </c>
      <c r="E416" s="14" t="s">
        <v>151</v>
      </c>
      <c r="F416" s="14" t="s">
        <v>152</v>
      </c>
      <c r="G416" s="14" t="n">
        <v>98105</v>
      </c>
      <c r="H416" s="14" t="s">
        <v>3</v>
      </c>
      <c r="I416" s="14" t="s">
        <v>137</v>
      </c>
      <c r="J416" s="14" t="s">
        <v>150</v>
      </c>
      <c r="K416" s="15" t="n">
        <v>139.86</v>
      </c>
      <c r="L416" s="14" t="n">
        <v>7</v>
      </c>
      <c r="M416" s="16" t="n">
        <v>0</v>
      </c>
      <c r="N416" s="15" t="n">
        <v>65.7342</v>
      </c>
      <c r="O416" s="17" t="str">
        <f aca="false">UPPER(LEFT(F416,3))&amp;"-"&amp;G416</f>
        <v>WAS-98105</v>
      </c>
      <c r="P416" s="17" t="str">
        <f aca="false">PROPER(TRIM(E416))</f>
        <v>Seattle</v>
      </c>
      <c r="Q416" s="17" t="str">
        <f aca="false">IFERROR(VLOOKUP(F416,Lookups!$A$2:$B$50,2,FALSE()),"Not found")</f>
        <v>West</v>
      </c>
      <c r="R416" s="17" t="str">
        <f aca="false">IF(Q416=H416,"Match","Mismatch")</f>
        <v>Match</v>
      </c>
      <c r="S416" s="17" t="str">
        <f aca="false">IFERROR(INDEX(SubCatCat,MATCH(J416,SubCatName,0)),"Not found")</f>
        <v>Office Supplies</v>
      </c>
      <c r="T416" s="18" t="n">
        <f aca="false">IF(K416=0,0,N416/K416)</f>
        <v>0.47</v>
      </c>
      <c r="U416" s="17" t="str">
        <f aca="false">IF(N416&lt;0,"Loss",IF(T416&gt;=0.2,"High margin","Normal"))</f>
        <v>High margin</v>
      </c>
      <c r="V416" s="17" t="str">
        <f aca="false">IF(M416=0,"No discount",IF(M416&lt;=0.2,"Low",IF(M416&lt;=0.4,"Medium","High")))</f>
        <v>No discount</v>
      </c>
      <c r="W416" s="17" t="str">
        <f aca="false">IF(OR(B416="Same Day",B416="First Class"),"Fast","Standard")</f>
        <v>Standard</v>
      </c>
      <c r="X416" s="19" t="n">
        <f aca="false">ROUND(K416/L416,2)</f>
        <v>19.98</v>
      </c>
    </row>
    <row r="417" customFormat="false" ht="15" hidden="false" customHeight="false" outlineLevel="0" collapsed="false">
      <c r="A417" s="14" t="n">
        <v>416</v>
      </c>
      <c r="B417" s="14" t="s">
        <v>139</v>
      </c>
      <c r="C417" s="14" t="s">
        <v>135</v>
      </c>
      <c r="D417" s="14" t="s">
        <v>128</v>
      </c>
      <c r="E417" s="14" t="s">
        <v>151</v>
      </c>
      <c r="F417" s="14" t="s">
        <v>152</v>
      </c>
      <c r="G417" s="14" t="n">
        <v>98105</v>
      </c>
      <c r="H417" s="14" t="s">
        <v>3</v>
      </c>
      <c r="I417" s="14" t="s">
        <v>132</v>
      </c>
      <c r="J417" s="14" t="s">
        <v>134</v>
      </c>
      <c r="K417" s="15" t="n">
        <v>307.136</v>
      </c>
      <c r="L417" s="14" t="n">
        <v>4</v>
      </c>
      <c r="M417" s="16" t="n">
        <v>0.2</v>
      </c>
      <c r="N417" s="15" t="n">
        <v>26.8744</v>
      </c>
      <c r="O417" s="17" t="str">
        <f aca="false">UPPER(LEFT(F417,3))&amp;"-"&amp;G417</f>
        <v>WAS-98105</v>
      </c>
      <c r="P417" s="17" t="str">
        <f aca="false">PROPER(TRIM(E417))</f>
        <v>Seattle</v>
      </c>
      <c r="Q417" s="17" t="str">
        <f aca="false">IFERROR(VLOOKUP(F417,Lookups!$A$2:$B$50,2,FALSE()),"Not found")</f>
        <v>West</v>
      </c>
      <c r="R417" s="17" t="str">
        <f aca="false">IF(Q417=H417,"Match","Mismatch")</f>
        <v>Match</v>
      </c>
      <c r="S417" s="17" t="str">
        <f aca="false">IFERROR(INDEX(SubCatCat,MATCH(J417,SubCatName,0)),"Not found")</f>
        <v>Furniture</v>
      </c>
      <c r="T417" s="18" t="n">
        <f aca="false">IF(K417=0,0,N417/K417)</f>
        <v>0.0875</v>
      </c>
      <c r="U417" s="17" t="str">
        <f aca="false">IF(N417&lt;0,"Loss",IF(T417&gt;=0.2,"High margin","Normal"))</f>
        <v>Normal</v>
      </c>
      <c r="V417" s="17" t="str">
        <f aca="false">IF(M417=0,"No discount",IF(M417&lt;=0.2,"Low",IF(M417&lt;=0.4,"Medium","High")))</f>
        <v>Low</v>
      </c>
      <c r="W417" s="17" t="str">
        <f aca="false">IF(OR(B417="Same Day",B417="First Class"),"Fast","Standard")</f>
        <v>Standard</v>
      </c>
      <c r="X417" s="19" t="n">
        <f aca="false">ROUND(K417/L417,2)</f>
        <v>76.78</v>
      </c>
    </row>
    <row r="418" customFormat="false" ht="15" hidden="false" customHeight="false" outlineLevel="0" collapsed="false">
      <c r="A418" s="14" t="n">
        <v>417</v>
      </c>
      <c r="B418" s="14" t="s">
        <v>139</v>
      </c>
      <c r="C418" s="14" t="s">
        <v>7</v>
      </c>
      <c r="D418" s="14" t="s">
        <v>128</v>
      </c>
      <c r="E418" s="14" t="s">
        <v>290</v>
      </c>
      <c r="F418" s="14" t="s">
        <v>9</v>
      </c>
      <c r="G418" s="14" t="n">
        <v>92646</v>
      </c>
      <c r="H418" s="14" t="s">
        <v>3</v>
      </c>
      <c r="I418" s="14" t="s">
        <v>137</v>
      </c>
      <c r="J418" s="14" t="s">
        <v>145</v>
      </c>
      <c r="K418" s="15" t="n">
        <v>95.92</v>
      </c>
      <c r="L418" s="14" t="n">
        <v>8</v>
      </c>
      <c r="M418" s="16" t="n">
        <v>0</v>
      </c>
      <c r="N418" s="15" t="n">
        <v>25.8984</v>
      </c>
      <c r="O418" s="17" t="str">
        <f aca="false">UPPER(LEFT(F418,3))&amp;"-"&amp;G418</f>
        <v>CAL-92646</v>
      </c>
      <c r="P418" s="17" t="str">
        <f aca="false">PROPER(TRIM(E418))</f>
        <v>Huntington Beach</v>
      </c>
      <c r="Q418" s="17" t="str">
        <f aca="false">IFERROR(VLOOKUP(F418,Lookups!$A$2:$B$50,2,FALSE()),"Not found")</f>
        <v>West</v>
      </c>
      <c r="R418" s="17" t="str">
        <f aca="false">IF(Q418=H418,"Match","Mismatch")</f>
        <v>Match</v>
      </c>
      <c r="S418" s="17" t="str">
        <f aca="false">IFERROR(INDEX(SubCatCat,MATCH(J418,SubCatName,0)),"Not found")</f>
        <v>Office Supplies</v>
      </c>
      <c r="T418" s="18" t="n">
        <f aca="false">IF(K418=0,0,N418/K418)</f>
        <v>0.27</v>
      </c>
      <c r="U418" s="17" t="str">
        <f aca="false">IF(N418&lt;0,"Loss",IF(T418&gt;=0.2,"High margin","Normal"))</f>
        <v>High margin</v>
      </c>
      <c r="V418" s="17" t="str">
        <f aca="false">IF(M418=0,"No discount",IF(M418&lt;=0.2,"Low",IF(M418&lt;=0.4,"Medium","High")))</f>
        <v>No discount</v>
      </c>
      <c r="W418" s="17" t="str">
        <f aca="false">IF(OR(B418="Same Day",B418="First Class"),"Fast","Standard")</f>
        <v>Standard</v>
      </c>
      <c r="X418" s="19" t="n">
        <f aca="false">ROUND(K418/L418,2)</f>
        <v>11.99</v>
      </c>
    </row>
    <row r="419" customFormat="false" ht="15" hidden="false" customHeight="false" outlineLevel="0" collapsed="false">
      <c r="A419" s="14" t="n">
        <v>418</v>
      </c>
      <c r="B419" s="14" t="s">
        <v>139</v>
      </c>
      <c r="C419" s="14" t="s">
        <v>7</v>
      </c>
      <c r="D419" s="14" t="s">
        <v>128</v>
      </c>
      <c r="E419" s="14" t="s">
        <v>136</v>
      </c>
      <c r="F419" s="14" t="s">
        <v>9</v>
      </c>
      <c r="G419" s="14" t="n">
        <v>90004</v>
      </c>
      <c r="H419" s="14" t="s">
        <v>3</v>
      </c>
      <c r="I419" s="14" t="s">
        <v>132</v>
      </c>
      <c r="J419" s="14" t="s">
        <v>134</v>
      </c>
      <c r="K419" s="15" t="n">
        <v>383.8</v>
      </c>
      <c r="L419" s="14" t="n">
        <v>5</v>
      </c>
      <c r="M419" s="16" t="n">
        <v>0.2</v>
      </c>
      <c r="N419" s="15" t="n">
        <v>38.38</v>
      </c>
      <c r="O419" s="17" t="str">
        <f aca="false">UPPER(LEFT(F419,3))&amp;"-"&amp;G419</f>
        <v>CAL-90004</v>
      </c>
      <c r="P419" s="17" t="str">
        <f aca="false">PROPER(TRIM(E419))</f>
        <v>Los Angeles</v>
      </c>
      <c r="Q419" s="17" t="str">
        <f aca="false">IFERROR(VLOOKUP(F419,Lookups!$A$2:$B$50,2,FALSE()),"Not found")</f>
        <v>West</v>
      </c>
      <c r="R419" s="17" t="str">
        <f aca="false">IF(Q419=H419,"Match","Mismatch")</f>
        <v>Match</v>
      </c>
      <c r="S419" s="17" t="str">
        <f aca="false">IFERROR(INDEX(SubCatCat,MATCH(J419,SubCatName,0)),"Not found")</f>
        <v>Furniture</v>
      </c>
      <c r="T419" s="18" t="n">
        <f aca="false">IF(K419=0,0,N419/K419)</f>
        <v>0.1</v>
      </c>
      <c r="U419" s="17" t="str">
        <f aca="false">IF(N419&lt;0,"Loss",IF(T419&gt;=0.2,"High margin","Normal"))</f>
        <v>Normal</v>
      </c>
      <c r="V419" s="17" t="str">
        <f aca="false">IF(M419=0,"No discount",IF(M419&lt;=0.2,"Low",IF(M419&lt;=0.4,"Medium","High")))</f>
        <v>Low</v>
      </c>
      <c r="W419" s="17" t="str">
        <f aca="false">IF(OR(B419="Same Day",B419="First Class"),"Fast","Standard")</f>
        <v>Standard</v>
      </c>
      <c r="X419" s="19" t="n">
        <f aca="false">ROUND(K419/L419,2)</f>
        <v>76.76</v>
      </c>
    </row>
    <row r="420" customFormat="false" ht="15" hidden="false" customHeight="false" outlineLevel="0" collapsed="false">
      <c r="A420" s="14" t="n">
        <v>419</v>
      </c>
      <c r="B420" s="14" t="s">
        <v>139</v>
      </c>
      <c r="C420" s="14" t="s">
        <v>135</v>
      </c>
      <c r="D420" s="14" t="s">
        <v>128</v>
      </c>
      <c r="E420" s="14" t="s">
        <v>291</v>
      </c>
      <c r="F420" s="14" t="s">
        <v>130</v>
      </c>
      <c r="G420" s="14" t="n">
        <v>40475</v>
      </c>
      <c r="H420" s="14" t="s">
        <v>131</v>
      </c>
      <c r="I420" s="14" t="s">
        <v>137</v>
      </c>
      <c r="J420" s="14" t="s">
        <v>150</v>
      </c>
      <c r="K420" s="15" t="n">
        <v>5.78</v>
      </c>
      <c r="L420" s="14" t="n">
        <v>1</v>
      </c>
      <c r="M420" s="16" t="n">
        <v>0</v>
      </c>
      <c r="N420" s="15" t="n">
        <v>2.8322</v>
      </c>
      <c r="O420" s="17" t="str">
        <f aca="false">UPPER(LEFT(F420,3))&amp;"-"&amp;G420</f>
        <v>KEN-40475</v>
      </c>
      <c r="P420" s="17" t="str">
        <f aca="false">PROPER(TRIM(E420))</f>
        <v>Richmond</v>
      </c>
      <c r="Q420" s="17" t="str">
        <f aca="false">IFERROR(VLOOKUP(F420,Lookups!$A$2:$B$50,2,FALSE()),"Not found")</f>
        <v>South</v>
      </c>
      <c r="R420" s="17" t="str">
        <f aca="false">IF(Q420=H420,"Match","Mismatch")</f>
        <v>Match</v>
      </c>
      <c r="S420" s="17" t="str">
        <f aca="false">IFERROR(INDEX(SubCatCat,MATCH(J420,SubCatName,0)),"Not found")</f>
        <v>Office Supplies</v>
      </c>
      <c r="T420" s="18" t="n">
        <f aca="false">IF(K420=0,0,N420/K420)</f>
        <v>0.49</v>
      </c>
      <c r="U420" s="17" t="str">
        <f aca="false">IF(N420&lt;0,"Loss",IF(T420&gt;=0.2,"High margin","Normal"))</f>
        <v>High margin</v>
      </c>
      <c r="V420" s="17" t="str">
        <f aca="false">IF(M420=0,"No discount",IF(M420&lt;=0.2,"Low",IF(M420&lt;=0.4,"Medium","High")))</f>
        <v>No discount</v>
      </c>
      <c r="W420" s="17" t="str">
        <f aca="false">IF(OR(B420="Same Day",B420="First Class"),"Fast","Standard")</f>
        <v>Standard</v>
      </c>
      <c r="X420" s="19" t="n">
        <f aca="false">ROUND(K420/L420,2)</f>
        <v>5.78</v>
      </c>
    </row>
    <row r="421" customFormat="false" ht="15" hidden="false" customHeight="false" outlineLevel="0" collapsed="false">
      <c r="A421" s="14" t="n">
        <v>420</v>
      </c>
      <c r="B421" s="14" t="s">
        <v>139</v>
      </c>
      <c r="C421" s="14" t="s">
        <v>135</v>
      </c>
      <c r="D421" s="14" t="s">
        <v>128</v>
      </c>
      <c r="E421" s="14" t="s">
        <v>136</v>
      </c>
      <c r="F421" s="14" t="s">
        <v>9</v>
      </c>
      <c r="G421" s="14" t="n">
        <v>90045</v>
      </c>
      <c r="H421" s="14" t="s">
        <v>3</v>
      </c>
      <c r="I421" s="14" t="s">
        <v>137</v>
      </c>
      <c r="J421" s="14" t="s">
        <v>145</v>
      </c>
      <c r="K421" s="15" t="n">
        <v>9.32</v>
      </c>
      <c r="L421" s="14" t="n">
        <v>4</v>
      </c>
      <c r="M421" s="16" t="n">
        <v>0</v>
      </c>
      <c r="N421" s="15" t="n">
        <v>2.7028</v>
      </c>
      <c r="O421" s="17" t="str">
        <f aca="false">UPPER(LEFT(F421,3))&amp;"-"&amp;G421</f>
        <v>CAL-90045</v>
      </c>
      <c r="P421" s="17" t="str">
        <f aca="false">PROPER(TRIM(E421))</f>
        <v>Los Angeles</v>
      </c>
      <c r="Q421" s="17" t="str">
        <f aca="false">IFERROR(VLOOKUP(F421,Lookups!$A$2:$B$50,2,FALSE()),"Not found")</f>
        <v>West</v>
      </c>
      <c r="R421" s="17" t="str">
        <f aca="false">IF(Q421=H421,"Match","Mismatch")</f>
        <v>Match</v>
      </c>
      <c r="S421" s="17" t="str">
        <f aca="false">IFERROR(INDEX(SubCatCat,MATCH(J421,SubCatName,0)),"Not found")</f>
        <v>Office Supplies</v>
      </c>
      <c r="T421" s="18" t="n">
        <f aca="false">IF(K421=0,0,N421/K421)</f>
        <v>0.29</v>
      </c>
      <c r="U421" s="17" t="str">
        <f aca="false">IF(N421&lt;0,"Loss",IF(T421&gt;=0.2,"High margin","Normal"))</f>
        <v>High margin</v>
      </c>
      <c r="V421" s="17" t="str">
        <f aca="false">IF(M421=0,"No discount",IF(M421&lt;=0.2,"Low",IF(M421&lt;=0.4,"Medium","High")))</f>
        <v>No discount</v>
      </c>
      <c r="W421" s="17" t="str">
        <f aca="false">IF(OR(B421="Same Day",B421="First Class"),"Fast","Standard")</f>
        <v>Standard</v>
      </c>
      <c r="X421" s="19" t="n">
        <f aca="false">ROUND(K421/L421,2)</f>
        <v>2.33</v>
      </c>
    </row>
    <row r="422" customFormat="false" ht="15" hidden="false" customHeight="false" outlineLevel="0" collapsed="false">
      <c r="A422" s="14" t="n">
        <v>421</v>
      </c>
      <c r="B422" s="14" t="s">
        <v>139</v>
      </c>
      <c r="C422" s="14" t="s">
        <v>135</v>
      </c>
      <c r="D422" s="14" t="s">
        <v>128</v>
      </c>
      <c r="E422" s="14" t="s">
        <v>136</v>
      </c>
      <c r="F422" s="14" t="s">
        <v>9</v>
      </c>
      <c r="G422" s="14" t="n">
        <v>90045</v>
      </c>
      <c r="H422" s="14" t="s">
        <v>3</v>
      </c>
      <c r="I422" s="14" t="s">
        <v>137</v>
      </c>
      <c r="J422" s="14" t="s">
        <v>169</v>
      </c>
      <c r="K422" s="15" t="n">
        <v>15.25</v>
      </c>
      <c r="L422" s="14" t="n">
        <v>1</v>
      </c>
      <c r="M422" s="16" t="n">
        <v>0</v>
      </c>
      <c r="N422" s="15" t="n">
        <v>7.015</v>
      </c>
      <c r="O422" s="17" t="str">
        <f aca="false">UPPER(LEFT(F422,3))&amp;"-"&amp;G422</f>
        <v>CAL-90045</v>
      </c>
      <c r="P422" s="17" t="str">
        <f aca="false">PROPER(TRIM(E422))</f>
        <v>Los Angeles</v>
      </c>
      <c r="Q422" s="17" t="str">
        <f aca="false">IFERROR(VLOOKUP(F422,Lookups!$A$2:$B$50,2,FALSE()),"Not found")</f>
        <v>West</v>
      </c>
      <c r="R422" s="17" t="str">
        <f aca="false">IF(Q422=H422,"Match","Mismatch")</f>
        <v>Match</v>
      </c>
      <c r="S422" s="17" t="str">
        <f aca="false">IFERROR(INDEX(SubCatCat,MATCH(J422,SubCatName,0)),"Not found")</f>
        <v>Office Supplies</v>
      </c>
      <c r="T422" s="18" t="n">
        <f aca="false">IF(K422=0,0,N422/K422)</f>
        <v>0.46</v>
      </c>
      <c r="U422" s="17" t="str">
        <f aca="false">IF(N422&lt;0,"Loss",IF(T422&gt;=0.2,"High margin","Normal"))</f>
        <v>High margin</v>
      </c>
      <c r="V422" s="17" t="str">
        <f aca="false">IF(M422=0,"No discount",IF(M422&lt;=0.2,"Low",IF(M422&lt;=0.4,"Medium","High")))</f>
        <v>No discount</v>
      </c>
      <c r="W422" s="17" t="str">
        <f aca="false">IF(OR(B422="Same Day",B422="First Class"),"Fast","Standard")</f>
        <v>Standard</v>
      </c>
      <c r="X422" s="19" t="n">
        <f aca="false">ROUND(K422/L422,2)</f>
        <v>15.25</v>
      </c>
    </row>
    <row r="423" customFormat="false" ht="15" hidden="false" customHeight="false" outlineLevel="0" collapsed="false">
      <c r="A423" s="14" t="n">
        <v>422</v>
      </c>
      <c r="B423" s="14" t="s">
        <v>171</v>
      </c>
      <c r="C423" s="14" t="s">
        <v>7</v>
      </c>
      <c r="D423" s="14" t="s">
        <v>128</v>
      </c>
      <c r="E423" s="14" t="s">
        <v>292</v>
      </c>
      <c r="F423" s="14" t="s">
        <v>207</v>
      </c>
      <c r="G423" s="14" t="n">
        <v>80027</v>
      </c>
      <c r="H423" s="14" t="s">
        <v>3</v>
      </c>
      <c r="I423" s="14" t="s">
        <v>5</v>
      </c>
      <c r="J423" s="14" t="s">
        <v>168</v>
      </c>
      <c r="K423" s="15" t="n">
        <v>196.752</v>
      </c>
      <c r="L423" s="14" t="n">
        <v>6</v>
      </c>
      <c r="M423" s="16" t="n">
        <v>0.2</v>
      </c>
      <c r="N423" s="15" t="n">
        <v>56.5662</v>
      </c>
      <c r="O423" s="17" t="str">
        <f aca="false">UPPER(LEFT(F423,3))&amp;"-"&amp;G423</f>
        <v>COL-80027</v>
      </c>
      <c r="P423" s="17" t="str">
        <f aca="false">PROPER(TRIM(E423))</f>
        <v>Louisville</v>
      </c>
      <c r="Q423" s="17" t="str">
        <f aca="false">IFERROR(VLOOKUP(F423,Lookups!$A$2:$B$50,2,FALSE()),"Not found")</f>
        <v>West</v>
      </c>
      <c r="R423" s="17" t="str">
        <f aca="false">IF(Q423=H423,"Match","Mismatch")</f>
        <v>Match</v>
      </c>
      <c r="S423" s="17" t="str">
        <f aca="false">IFERROR(INDEX(SubCatCat,MATCH(J423,SubCatName,0)),"Not found")</f>
        <v>Technology</v>
      </c>
      <c r="T423" s="18" t="n">
        <f aca="false">IF(K423=0,0,N423/K423)</f>
        <v>0.2875</v>
      </c>
      <c r="U423" s="17" t="str">
        <f aca="false">IF(N423&lt;0,"Loss",IF(T423&gt;=0.2,"High margin","Normal"))</f>
        <v>High margin</v>
      </c>
      <c r="V423" s="17" t="str">
        <f aca="false">IF(M423=0,"No discount",IF(M423&lt;=0.2,"Low",IF(M423&lt;=0.4,"Medium","High")))</f>
        <v>Low</v>
      </c>
      <c r="W423" s="17" t="str">
        <f aca="false">IF(OR(B423="Same Day",B423="First Class"),"Fast","Standard")</f>
        <v>Fast</v>
      </c>
      <c r="X423" s="19" t="n">
        <f aca="false">ROUND(K423/L423,2)</f>
        <v>32.79</v>
      </c>
    </row>
    <row r="424" customFormat="false" ht="15" hidden="false" customHeight="false" outlineLevel="0" collapsed="false">
      <c r="A424" s="14" t="n">
        <v>423</v>
      </c>
      <c r="B424" s="14" t="s">
        <v>139</v>
      </c>
      <c r="C424" s="14" t="s">
        <v>135</v>
      </c>
      <c r="D424" s="14" t="s">
        <v>128</v>
      </c>
      <c r="E424" s="14" t="s">
        <v>293</v>
      </c>
      <c r="F424" s="14" t="s">
        <v>275</v>
      </c>
      <c r="G424" s="14" t="n">
        <v>1841</v>
      </c>
      <c r="H424" s="14" t="s">
        <v>166</v>
      </c>
      <c r="I424" s="14" t="s">
        <v>132</v>
      </c>
      <c r="J424" s="14" t="s">
        <v>144</v>
      </c>
      <c r="K424" s="15" t="n">
        <v>56.56</v>
      </c>
      <c r="L424" s="14" t="n">
        <v>4</v>
      </c>
      <c r="M424" s="16" t="n">
        <v>0</v>
      </c>
      <c r="N424" s="15" t="n">
        <v>14.7056</v>
      </c>
      <c r="O424" s="17" t="str">
        <f aca="false">UPPER(LEFT(F424,3))&amp;"-"&amp;G424</f>
        <v>MAS-1841</v>
      </c>
      <c r="P424" s="17" t="str">
        <f aca="false">PROPER(TRIM(E424))</f>
        <v>Lawrence</v>
      </c>
      <c r="Q424" s="17" t="str">
        <f aca="false">IFERROR(VLOOKUP(F424,Lookups!$A$2:$B$50,2,FALSE()),"Not found")</f>
        <v>East</v>
      </c>
      <c r="R424" s="17" t="str">
        <f aca="false">IF(Q424=H424,"Match","Mismatch")</f>
        <v>Match</v>
      </c>
      <c r="S424" s="17" t="str">
        <f aca="false">IFERROR(INDEX(SubCatCat,MATCH(J424,SubCatName,0)),"Not found")</f>
        <v>Furniture</v>
      </c>
      <c r="T424" s="18" t="n">
        <f aca="false">IF(K424=0,0,N424/K424)</f>
        <v>0.26</v>
      </c>
      <c r="U424" s="17" t="str">
        <f aca="false">IF(N424&lt;0,"Loss",IF(T424&gt;=0.2,"High margin","Normal"))</f>
        <v>High margin</v>
      </c>
      <c r="V424" s="17" t="str">
        <f aca="false">IF(M424=0,"No discount",IF(M424&lt;=0.2,"Low",IF(M424&lt;=0.4,"Medium","High")))</f>
        <v>No discount</v>
      </c>
      <c r="W424" s="17" t="str">
        <f aca="false">IF(OR(B424="Same Day",B424="First Class"),"Fast","Standard")</f>
        <v>Standard</v>
      </c>
      <c r="X424" s="19" t="n">
        <f aca="false">ROUND(K424/L424,2)</f>
        <v>14.14</v>
      </c>
    </row>
    <row r="425" customFormat="false" ht="15" hidden="false" customHeight="false" outlineLevel="0" collapsed="false">
      <c r="A425" s="14" t="n">
        <v>424</v>
      </c>
      <c r="B425" s="14" t="s">
        <v>139</v>
      </c>
      <c r="C425" s="14" t="s">
        <v>135</v>
      </c>
      <c r="D425" s="14" t="s">
        <v>128</v>
      </c>
      <c r="E425" s="14" t="s">
        <v>293</v>
      </c>
      <c r="F425" s="14" t="s">
        <v>275</v>
      </c>
      <c r="G425" s="14" t="n">
        <v>1841</v>
      </c>
      <c r="H425" s="14" t="s">
        <v>166</v>
      </c>
      <c r="I425" s="14" t="s">
        <v>137</v>
      </c>
      <c r="J425" s="14" t="s">
        <v>143</v>
      </c>
      <c r="K425" s="15" t="n">
        <v>32.7</v>
      </c>
      <c r="L425" s="14" t="n">
        <v>3</v>
      </c>
      <c r="M425" s="16" t="n">
        <v>0</v>
      </c>
      <c r="N425" s="15" t="n">
        <v>8.502</v>
      </c>
      <c r="O425" s="17" t="str">
        <f aca="false">UPPER(LEFT(F425,3))&amp;"-"&amp;G425</f>
        <v>MAS-1841</v>
      </c>
      <c r="P425" s="17" t="str">
        <f aca="false">PROPER(TRIM(E425))</f>
        <v>Lawrence</v>
      </c>
      <c r="Q425" s="17" t="str">
        <f aca="false">IFERROR(VLOOKUP(F425,Lookups!$A$2:$B$50,2,FALSE()),"Not found")</f>
        <v>East</v>
      </c>
      <c r="R425" s="17" t="str">
        <f aca="false">IF(Q425=H425,"Match","Mismatch")</f>
        <v>Match</v>
      </c>
      <c r="S425" s="17" t="str">
        <f aca="false">IFERROR(INDEX(SubCatCat,MATCH(J425,SubCatName,0)),"Not found")</f>
        <v>Office Supplies</v>
      </c>
      <c r="T425" s="18" t="n">
        <f aca="false">IF(K425=0,0,N425/K425)</f>
        <v>0.26</v>
      </c>
      <c r="U425" s="17" t="str">
        <f aca="false">IF(N425&lt;0,"Loss",IF(T425&gt;=0.2,"High margin","Normal"))</f>
        <v>High margin</v>
      </c>
      <c r="V425" s="17" t="str">
        <f aca="false">IF(M425=0,"No discount",IF(M425&lt;=0.2,"Low",IF(M425&lt;=0.4,"Medium","High")))</f>
        <v>No discount</v>
      </c>
      <c r="W425" s="17" t="str">
        <f aca="false">IF(OR(B425="Same Day",B425="First Class"),"Fast","Standard")</f>
        <v>Standard</v>
      </c>
      <c r="X425" s="19" t="n">
        <f aca="false">ROUND(K425/L425,2)</f>
        <v>10.9</v>
      </c>
    </row>
    <row r="426" customFormat="false" ht="15" hidden="false" customHeight="false" outlineLevel="0" collapsed="false">
      <c r="A426" s="14" t="n">
        <v>425</v>
      </c>
      <c r="B426" s="14" t="s">
        <v>127</v>
      </c>
      <c r="C426" s="14" t="s">
        <v>7</v>
      </c>
      <c r="D426" s="14" t="s">
        <v>128</v>
      </c>
      <c r="E426" s="14" t="s">
        <v>193</v>
      </c>
      <c r="F426" s="14" t="s">
        <v>294</v>
      </c>
      <c r="G426" s="14" t="n">
        <v>39212</v>
      </c>
      <c r="H426" s="14" t="s">
        <v>131</v>
      </c>
      <c r="I426" s="14" t="s">
        <v>132</v>
      </c>
      <c r="J426" s="14" t="s">
        <v>134</v>
      </c>
      <c r="K426" s="15" t="n">
        <v>866.4</v>
      </c>
      <c r="L426" s="14" t="n">
        <v>4</v>
      </c>
      <c r="M426" s="16" t="n">
        <v>0</v>
      </c>
      <c r="N426" s="15" t="n">
        <v>225.264</v>
      </c>
      <c r="O426" s="17" t="str">
        <f aca="false">UPPER(LEFT(F426,3))&amp;"-"&amp;G426</f>
        <v>MIS-39212</v>
      </c>
      <c r="P426" s="17" t="str">
        <f aca="false">PROPER(TRIM(E426))</f>
        <v>Jackson</v>
      </c>
      <c r="Q426" s="17" t="str">
        <f aca="false">IFERROR(VLOOKUP(F426,Lookups!$A$2:$B$50,2,FALSE()),"Not found")</f>
        <v>South</v>
      </c>
      <c r="R426" s="17" t="str">
        <f aca="false">IF(Q426=H426,"Match","Mismatch")</f>
        <v>Match</v>
      </c>
      <c r="S426" s="17" t="str">
        <f aca="false">IFERROR(INDEX(SubCatCat,MATCH(J426,SubCatName,0)),"Not found")</f>
        <v>Furniture</v>
      </c>
      <c r="T426" s="18" t="n">
        <f aca="false">IF(K426=0,0,N426/K426)</f>
        <v>0.26</v>
      </c>
      <c r="U426" s="17" t="str">
        <f aca="false">IF(N426&lt;0,"Loss",IF(T426&gt;=0.2,"High margin","Normal"))</f>
        <v>High margin</v>
      </c>
      <c r="V426" s="17" t="str">
        <f aca="false">IF(M426=0,"No discount",IF(M426&lt;=0.2,"Low",IF(M426&lt;=0.4,"Medium","High")))</f>
        <v>No discount</v>
      </c>
      <c r="W426" s="17" t="str">
        <f aca="false">IF(OR(B426="Same Day",B426="First Class"),"Fast","Standard")</f>
        <v>Standard</v>
      </c>
      <c r="X426" s="19" t="n">
        <f aca="false">ROUND(K426/L426,2)</f>
        <v>216.6</v>
      </c>
    </row>
    <row r="427" customFormat="false" ht="15" hidden="false" customHeight="false" outlineLevel="0" collapsed="false">
      <c r="A427" s="14" t="n">
        <v>426</v>
      </c>
      <c r="B427" s="14" t="s">
        <v>127</v>
      </c>
      <c r="C427" s="14" t="s">
        <v>135</v>
      </c>
      <c r="D427" s="14" t="s">
        <v>128</v>
      </c>
      <c r="E427" s="14" t="s">
        <v>295</v>
      </c>
      <c r="F427" s="14" t="s">
        <v>179</v>
      </c>
      <c r="G427" s="14" t="n">
        <v>48187</v>
      </c>
      <c r="H427" s="14" t="s">
        <v>156</v>
      </c>
      <c r="I427" s="14" t="s">
        <v>132</v>
      </c>
      <c r="J427" s="14" t="s">
        <v>144</v>
      </c>
      <c r="K427" s="15" t="n">
        <v>28.4</v>
      </c>
      <c r="L427" s="14" t="n">
        <v>2</v>
      </c>
      <c r="M427" s="16" t="n">
        <v>0</v>
      </c>
      <c r="N427" s="15" t="n">
        <v>11.076</v>
      </c>
      <c r="O427" s="17" t="str">
        <f aca="false">UPPER(LEFT(F427,3))&amp;"-"&amp;G427</f>
        <v>MIC-48187</v>
      </c>
      <c r="P427" s="17" t="str">
        <f aca="false">PROPER(TRIM(E427))</f>
        <v>Canton</v>
      </c>
      <c r="Q427" s="17" t="str">
        <f aca="false">IFERROR(VLOOKUP(F427,Lookups!$A$2:$B$50,2,FALSE()),"Not found")</f>
        <v>Central</v>
      </c>
      <c r="R427" s="17" t="str">
        <f aca="false">IF(Q427=H427,"Match","Mismatch")</f>
        <v>Match</v>
      </c>
      <c r="S427" s="17" t="str">
        <f aca="false">IFERROR(INDEX(SubCatCat,MATCH(J427,SubCatName,0)),"Not found")</f>
        <v>Furniture</v>
      </c>
      <c r="T427" s="18" t="n">
        <f aca="false">IF(K427=0,0,N427/K427)</f>
        <v>0.39</v>
      </c>
      <c r="U427" s="17" t="str">
        <f aca="false">IF(N427&lt;0,"Loss",IF(T427&gt;=0.2,"High margin","Normal"))</f>
        <v>High margin</v>
      </c>
      <c r="V427" s="17" t="str">
        <f aca="false">IF(M427=0,"No discount",IF(M427&lt;=0.2,"Low",IF(M427&lt;=0.4,"Medium","High")))</f>
        <v>No discount</v>
      </c>
      <c r="W427" s="17" t="str">
        <f aca="false">IF(OR(B427="Same Day",B427="First Class"),"Fast","Standard")</f>
        <v>Standard</v>
      </c>
      <c r="X427" s="19" t="n">
        <f aca="false">ROUND(K427/L427,2)</f>
        <v>14.2</v>
      </c>
    </row>
    <row r="428" customFormat="false" ht="15" hidden="false" customHeight="false" outlineLevel="0" collapsed="false">
      <c r="A428" s="14" t="n">
        <v>427</v>
      </c>
      <c r="B428" s="14" t="s">
        <v>127</v>
      </c>
      <c r="C428" s="14" t="s">
        <v>135</v>
      </c>
      <c r="D428" s="14" t="s">
        <v>128</v>
      </c>
      <c r="E428" s="14" t="s">
        <v>295</v>
      </c>
      <c r="F428" s="14" t="s">
        <v>179</v>
      </c>
      <c r="G428" s="14" t="n">
        <v>48187</v>
      </c>
      <c r="H428" s="14" t="s">
        <v>156</v>
      </c>
      <c r="I428" s="14" t="s">
        <v>137</v>
      </c>
      <c r="J428" s="14" t="s">
        <v>146</v>
      </c>
      <c r="K428" s="15" t="n">
        <v>287.92</v>
      </c>
      <c r="L428" s="14" t="n">
        <v>8</v>
      </c>
      <c r="M428" s="16" t="n">
        <v>0</v>
      </c>
      <c r="N428" s="15" t="n">
        <v>138.2016</v>
      </c>
      <c r="O428" s="17" t="str">
        <f aca="false">UPPER(LEFT(F428,3))&amp;"-"&amp;G428</f>
        <v>MIC-48187</v>
      </c>
      <c r="P428" s="17" t="str">
        <f aca="false">PROPER(TRIM(E428))</f>
        <v>Canton</v>
      </c>
      <c r="Q428" s="17" t="str">
        <f aca="false">IFERROR(VLOOKUP(F428,Lookups!$A$2:$B$50,2,FALSE()),"Not found")</f>
        <v>Central</v>
      </c>
      <c r="R428" s="17" t="str">
        <f aca="false">IF(Q428=H428,"Match","Mismatch")</f>
        <v>Match</v>
      </c>
      <c r="S428" s="17" t="str">
        <f aca="false">IFERROR(INDEX(SubCatCat,MATCH(J428,SubCatName,0)),"Not found")</f>
        <v>Office Supplies</v>
      </c>
      <c r="T428" s="18" t="n">
        <f aca="false">IF(K428=0,0,N428/K428)</f>
        <v>0.48</v>
      </c>
      <c r="U428" s="17" t="str">
        <f aca="false">IF(N428&lt;0,"Loss",IF(T428&gt;=0.2,"High margin","Normal"))</f>
        <v>High margin</v>
      </c>
      <c r="V428" s="17" t="str">
        <f aca="false">IF(M428=0,"No discount",IF(M428&lt;=0.2,"Low",IF(M428&lt;=0.4,"Medium","High")))</f>
        <v>No discount</v>
      </c>
      <c r="W428" s="17" t="str">
        <f aca="false">IF(OR(B428="Same Day",B428="First Class"),"Fast","Standard")</f>
        <v>Standard</v>
      </c>
      <c r="X428" s="19" t="n">
        <f aca="false">ROUND(K428/L428,2)</f>
        <v>35.99</v>
      </c>
    </row>
    <row r="429" customFormat="false" ht="15" hidden="false" customHeight="false" outlineLevel="0" collapsed="false">
      <c r="A429" s="14" t="n">
        <v>428</v>
      </c>
      <c r="B429" s="14" t="s">
        <v>171</v>
      </c>
      <c r="C429" s="14" t="s">
        <v>153</v>
      </c>
      <c r="D429" s="14" t="s">
        <v>128</v>
      </c>
      <c r="E429" s="14" t="s">
        <v>296</v>
      </c>
      <c r="F429" s="14" t="s">
        <v>185</v>
      </c>
      <c r="G429" s="14" t="n">
        <v>10801</v>
      </c>
      <c r="H429" s="14" t="s">
        <v>166</v>
      </c>
      <c r="I429" s="14" t="s">
        <v>5</v>
      </c>
      <c r="J429" s="14" t="s">
        <v>232</v>
      </c>
      <c r="K429" s="15" t="n">
        <v>69.99</v>
      </c>
      <c r="L429" s="14" t="n">
        <v>1</v>
      </c>
      <c r="M429" s="16" t="n">
        <v>0</v>
      </c>
      <c r="N429" s="15" t="n">
        <v>30.0957</v>
      </c>
      <c r="O429" s="17" t="str">
        <f aca="false">UPPER(LEFT(F429,3))&amp;"-"&amp;G429</f>
        <v>NEW-10801</v>
      </c>
      <c r="P429" s="17" t="str">
        <f aca="false">PROPER(TRIM(E429))</f>
        <v>New Rochelle</v>
      </c>
      <c r="Q429" s="17" t="str">
        <f aca="false">IFERROR(VLOOKUP(F429,Lookups!$A$2:$B$50,2,FALSE()),"Not found")</f>
        <v>East</v>
      </c>
      <c r="R429" s="17" t="str">
        <f aca="false">IF(Q429=H429,"Match","Mismatch")</f>
        <v>Match</v>
      </c>
      <c r="S429" s="17" t="str">
        <f aca="false">IFERROR(INDEX(SubCatCat,MATCH(J429,SubCatName,0)),"Not found")</f>
        <v>Technology</v>
      </c>
      <c r="T429" s="18" t="n">
        <f aca="false">IF(K429=0,0,N429/K429)</f>
        <v>0.43</v>
      </c>
      <c r="U429" s="17" t="str">
        <f aca="false">IF(N429&lt;0,"Loss",IF(T429&gt;=0.2,"High margin","Normal"))</f>
        <v>High margin</v>
      </c>
      <c r="V429" s="17" t="str">
        <f aca="false">IF(M429=0,"No discount",IF(M429&lt;=0.2,"Low",IF(M429&lt;=0.4,"Medium","High")))</f>
        <v>No discount</v>
      </c>
      <c r="W429" s="17" t="str">
        <f aca="false">IF(OR(B429="Same Day",B429="First Class"),"Fast","Standard")</f>
        <v>Fast</v>
      </c>
      <c r="X429" s="19" t="n">
        <f aca="false">ROUND(K429/L429,2)</f>
        <v>69.99</v>
      </c>
    </row>
    <row r="430" customFormat="false" ht="15" hidden="false" customHeight="false" outlineLevel="0" collapsed="false">
      <c r="A430" s="14" t="n">
        <v>429</v>
      </c>
      <c r="B430" s="14" t="s">
        <v>139</v>
      </c>
      <c r="C430" s="14" t="s">
        <v>135</v>
      </c>
      <c r="D430" s="14" t="s">
        <v>128</v>
      </c>
      <c r="E430" s="14" t="s">
        <v>231</v>
      </c>
      <c r="F430" s="14" t="s">
        <v>155</v>
      </c>
      <c r="G430" s="14" t="n">
        <v>78207</v>
      </c>
      <c r="H430" s="14" t="s">
        <v>156</v>
      </c>
      <c r="I430" s="14" t="s">
        <v>137</v>
      </c>
      <c r="J430" s="14" t="s">
        <v>145</v>
      </c>
      <c r="K430" s="15" t="n">
        <v>6.672</v>
      </c>
      <c r="L430" s="14" t="n">
        <v>6</v>
      </c>
      <c r="M430" s="16" t="n">
        <v>0.2</v>
      </c>
      <c r="N430" s="15" t="n">
        <v>0.5004</v>
      </c>
      <c r="O430" s="17" t="str">
        <f aca="false">UPPER(LEFT(F430,3))&amp;"-"&amp;G430</f>
        <v>TEX-78207</v>
      </c>
      <c r="P430" s="17" t="str">
        <f aca="false">PROPER(TRIM(E430))</f>
        <v>San Antonio</v>
      </c>
      <c r="Q430" s="17" t="str">
        <f aca="false">IFERROR(VLOOKUP(F430,Lookups!$A$2:$B$50,2,FALSE()),"Not found")</f>
        <v>Central</v>
      </c>
      <c r="R430" s="17" t="str">
        <f aca="false">IF(Q430=H430,"Match","Mismatch")</f>
        <v>Match</v>
      </c>
      <c r="S430" s="17" t="str">
        <f aca="false">IFERROR(INDEX(SubCatCat,MATCH(J430,SubCatName,0)),"Not found")</f>
        <v>Office Supplies</v>
      </c>
      <c r="T430" s="18" t="n">
        <f aca="false">IF(K430=0,0,N430/K430)</f>
        <v>0.075</v>
      </c>
      <c r="U430" s="17" t="str">
        <f aca="false">IF(N430&lt;0,"Loss",IF(T430&gt;=0.2,"High margin","Normal"))</f>
        <v>Normal</v>
      </c>
      <c r="V430" s="17" t="str">
        <f aca="false">IF(M430=0,"No discount",IF(M430&lt;=0.2,"Low",IF(M430&lt;=0.4,"Medium","High")))</f>
        <v>Low</v>
      </c>
      <c r="W430" s="17" t="str">
        <f aca="false">IF(OR(B430="Same Day",B430="First Class"),"Fast","Standard")</f>
        <v>Standard</v>
      </c>
      <c r="X430" s="19" t="n">
        <f aca="false">ROUND(K430/L430,2)</f>
        <v>1.11</v>
      </c>
    </row>
    <row r="431" customFormat="false" ht="15" hidden="false" customHeight="false" outlineLevel="0" collapsed="false">
      <c r="A431" s="14" t="n">
        <v>430</v>
      </c>
      <c r="B431" s="14" t="s">
        <v>139</v>
      </c>
      <c r="C431" s="14" t="s">
        <v>153</v>
      </c>
      <c r="D431" s="14" t="s">
        <v>128</v>
      </c>
      <c r="E431" s="14" t="s">
        <v>297</v>
      </c>
      <c r="F431" s="14" t="s">
        <v>149</v>
      </c>
      <c r="G431" s="14" t="n">
        <v>28052</v>
      </c>
      <c r="H431" s="14" t="s">
        <v>131</v>
      </c>
      <c r="I431" s="14" t="s">
        <v>137</v>
      </c>
      <c r="J431" s="14" t="s">
        <v>146</v>
      </c>
      <c r="K431" s="15" t="n">
        <v>189.588</v>
      </c>
      <c r="L431" s="14" t="n">
        <v>2</v>
      </c>
      <c r="M431" s="16" t="n">
        <v>0.7</v>
      </c>
      <c r="N431" s="15" t="n">
        <v>-145.3508</v>
      </c>
      <c r="O431" s="17" t="str">
        <f aca="false">UPPER(LEFT(F431,3))&amp;"-"&amp;G431</f>
        <v>NOR-28052</v>
      </c>
      <c r="P431" s="17" t="str">
        <f aca="false">PROPER(TRIM(E431))</f>
        <v>Gastonia</v>
      </c>
      <c r="Q431" s="17" t="str">
        <f aca="false">IFERROR(VLOOKUP(F431,Lookups!$A$2:$B$50,2,FALSE()),"Not found")</f>
        <v>South</v>
      </c>
      <c r="R431" s="17" t="str">
        <f aca="false">IF(Q431=H431,"Match","Mismatch")</f>
        <v>Match</v>
      </c>
      <c r="S431" s="17" t="str">
        <f aca="false">IFERROR(INDEX(SubCatCat,MATCH(J431,SubCatName,0)),"Not found")</f>
        <v>Office Supplies</v>
      </c>
      <c r="T431" s="18" t="n">
        <f aca="false">IF(K431=0,0,N431/K431)</f>
        <v>-0.766666666666667</v>
      </c>
      <c r="U431" s="17" t="str">
        <f aca="false">IF(N431&lt;0,"Loss",IF(T431&gt;=0.2,"High margin","Normal"))</f>
        <v>Loss</v>
      </c>
      <c r="V431" s="17" t="str">
        <f aca="false">IF(M431=0,"No discount",IF(M431&lt;=0.2,"Low",IF(M431&lt;=0.4,"Medium","High")))</f>
        <v>High</v>
      </c>
      <c r="W431" s="17" t="str">
        <f aca="false">IF(OR(B431="Same Day",B431="First Class"),"Fast","Standard")</f>
        <v>Standard</v>
      </c>
      <c r="X431" s="19" t="n">
        <f aca="false">ROUND(K431/L431,2)</f>
        <v>94.79</v>
      </c>
    </row>
    <row r="432" customFormat="false" ht="15" hidden="false" customHeight="false" outlineLevel="0" collapsed="false">
      <c r="A432" s="14" t="n">
        <v>431</v>
      </c>
      <c r="B432" s="14" t="s">
        <v>139</v>
      </c>
      <c r="C432" s="14" t="s">
        <v>153</v>
      </c>
      <c r="D432" s="14" t="s">
        <v>128</v>
      </c>
      <c r="E432" s="14" t="s">
        <v>297</v>
      </c>
      <c r="F432" s="14" t="s">
        <v>149</v>
      </c>
      <c r="G432" s="14" t="n">
        <v>28052</v>
      </c>
      <c r="H432" s="14" t="s">
        <v>131</v>
      </c>
      <c r="I432" s="14" t="s">
        <v>5</v>
      </c>
      <c r="J432" s="14" t="s">
        <v>168</v>
      </c>
      <c r="K432" s="15" t="n">
        <v>408.744</v>
      </c>
      <c r="L432" s="14" t="n">
        <v>7</v>
      </c>
      <c r="M432" s="16" t="n">
        <v>0.2</v>
      </c>
      <c r="N432" s="15" t="n">
        <v>76.6395</v>
      </c>
      <c r="O432" s="17" t="str">
        <f aca="false">UPPER(LEFT(F432,3))&amp;"-"&amp;G432</f>
        <v>NOR-28052</v>
      </c>
      <c r="P432" s="17" t="str">
        <f aca="false">PROPER(TRIM(E432))</f>
        <v>Gastonia</v>
      </c>
      <c r="Q432" s="17" t="str">
        <f aca="false">IFERROR(VLOOKUP(F432,Lookups!$A$2:$B$50,2,FALSE()),"Not found")</f>
        <v>South</v>
      </c>
      <c r="R432" s="17" t="str">
        <f aca="false">IF(Q432=H432,"Match","Mismatch")</f>
        <v>Match</v>
      </c>
      <c r="S432" s="17" t="str">
        <f aca="false">IFERROR(INDEX(SubCatCat,MATCH(J432,SubCatName,0)),"Not found")</f>
        <v>Technology</v>
      </c>
      <c r="T432" s="18" t="n">
        <f aca="false">IF(K432=0,0,N432/K432)</f>
        <v>0.1875</v>
      </c>
      <c r="U432" s="17" t="str">
        <f aca="false">IF(N432&lt;0,"Loss",IF(T432&gt;=0.2,"High margin","Normal"))</f>
        <v>Normal</v>
      </c>
      <c r="V432" s="17" t="str">
        <f aca="false">IF(M432=0,"No discount",IF(M432&lt;=0.2,"Low",IF(M432&lt;=0.4,"Medium","High")))</f>
        <v>Low</v>
      </c>
      <c r="W432" s="17" t="str">
        <f aca="false">IF(OR(B432="Same Day",B432="First Class"),"Fast","Standard")</f>
        <v>Standard</v>
      </c>
      <c r="X432" s="19" t="n">
        <f aca="false">ROUND(K432/L432,2)</f>
        <v>58.39</v>
      </c>
    </row>
    <row r="433" customFormat="false" ht="15" hidden="false" customHeight="false" outlineLevel="0" collapsed="false">
      <c r="A433" s="14" t="n">
        <v>432</v>
      </c>
      <c r="B433" s="14" t="s">
        <v>139</v>
      </c>
      <c r="C433" s="14" t="s">
        <v>153</v>
      </c>
      <c r="D433" s="14" t="s">
        <v>128</v>
      </c>
      <c r="E433" s="14" t="s">
        <v>297</v>
      </c>
      <c r="F433" s="14" t="s">
        <v>149</v>
      </c>
      <c r="G433" s="14" t="n">
        <v>28052</v>
      </c>
      <c r="H433" s="14" t="s">
        <v>131</v>
      </c>
      <c r="I433" s="14" t="s">
        <v>5</v>
      </c>
      <c r="J433" s="14" t="s">
        <v>168</v>
      </c>
      <c r="K433" s="15" t="n">
        <v>291.96</v>
      </c>
      <c r="L433" s="14" t="n">
        <v>5</v>
      </c>
      <c r="M433" s="16" t="n">
        <v>0.2</v>
      </c>
      <c r="N433" s="15" t="n">
        <v>54.7425</v>
      </c>
      <c r="O433" s="17" t="str">
        <f aca="false">UPPER(LEFT(F433,3))&amp;"-"&amp;G433</f>
        <v>NOR-28052</v>
      </c>
      <c r="P433" s="17" t="str">
        <f aca="false">PROPER(TRIM(E433))</f>
        <v>Gastonia</v>
      </c>
      <c r="Q433" s="17" t="str">
        <f aca="false">IFERROR(VLOOKUP(F433,Lookups!$A$2:$B$50,2,FALSE()),"Not found")</f>
        <v>South</v>
      </c>
      <c r="R433" s="17" t="str">
        <f aca="false">IF(Q433=H433,"Match","Mismatch")</f>
        <v>Match</v>
      </c>
      <c r="S433" s="17" t="str">
        <f aca="false">IFERROR(INDEX(SubCatCat,MATCH(J433,SubCatName,0)),"Not found")</f>
        <v>Technology</v>
      </c>
      <c r="T433" s="18" t="n">
        <f aca="false">IF(K433=0,0,N433/K433)</f>
        <v>0.1875</v>
      </c>
      <c r="U433" s="17" t="str">
        <f aca="false">IF(N433&lt;0,"Loss",IF(T433&gt;=0.2,"High margin","Normal"))</f>
        <v>Normal</v>
      </c>
      <c r="V433" s="17" t="str">
        <f aca="false">IF(M433=0,"No discount",IF(M433&lt;=0.2,"Low",IF(M433&lt;=0.4,"Medium","High")))</f>
        <v>Low</v>
      </c>
      <c r="W433" s="17" t="str">
        <f aca="false">IF(OR(B433="Same Day",B433="First Class"),"Fast","Standard")</f>
        <v>Standard</v>
      </c>
      <c r="X433" s="19" t="n">
        <f aca="false">ROUND(K433/L433,2)</f>
        <v>58.39</v>
      </c>
    </row>
    <row r="434" customFormat="false" ht="15" hidden="false" customHeight="false" outlineLevel="0" collapsed="false">
      <c r="A434" s="14" t="n">
        <v>433</v>
      </c>
      <c r="B434" s="14" t="s">
        <v>139</v>
      </c>
      <c r="C434" s="14" t="s">
        <v>153</v>
      </c>
      <c r="D434" s="14" t="s">
        <v>128</v>
      </c>
      <c r="E434" s="14" t="s">
        <v>297</v>
      </c>
      <c r="F434" s="14" t="s">
        <v>149</v>
      </c>
      <c r="G434" s="14" t="n">
        <v>28052</v>
      </c>
      <c r="H434" s="14" t="s">
        <v>131</v>
      </c>
      <c r="I434" s="14" t="s">
        <v>137</v>
      </c>
      <c r="J434" s="14" t="s">
        <v>143</v>
      </c>
      <c r="K434" s="15" t="n">
        <v>4.768</v>
      </c>
      <c r="L434" s="14" t="n">
        <v>2</v>
      </c>
      <c r="M434" s="16" t="n">
        <v>0.2</v>
      </c>
      <c r="N434" s="15" t="n">
        <v>-0.7748</v>
      </c>
      <c r="O434" s="17" t="str">
        <f aca="false">UPPER(LEFT(F434,3))&amp;"-"&amp;G434</f>
        <v>NOR-28052</v>
      </c>
      <c r="P434" s="17" t="str">
        <f aca="false">PROPER(TRIM(E434))</f>
        <v>Gastonia</v>
      </c>
      <c r="Q434" s="17" t="str">
        <f aca="false">IFERROR(VLOOKUP(F434,Lookups!$A$2:$B$50,2,FALSE()),"Not found")</f>
        <v>South</v>
      </c>
      <c r="R434" s="17" t="str">
        <f aca="false">IF(Q434=H434,"Match","Mismatch")</f>
        <v>Match</v>
      </c>
      <c r="S434" s="17" t="str">
        <f aca="false">IFERROR(INDEX(SubCatCat,MATCH(J434,SubCatName,0)),"Not found")</f>
        <v>Office Supplies</v>
      </c>
      <c r="T434" s="18" t="n">
        <f aca="false">IF(K434=0,0,N434/K434)</f>
        <v>-0.1625</v>
      </c>
      <c r="U434" s="17" t="str">
        <f aca="false">IF(N434&lt;0,"Loss",IF(T434&gt;=0.2,"High margin","Normal"))</f>
        <v>Loss</v>
      </c>
      <c r="V434" s="17" t="str">
        <f aca="false">IF(M434=0,"No discount",IF(M434&lt;=0.2,"Low",IF(M434&lt;=0.4,"Medium","High")))</f>
        <v>Low</v>
      </c>
      <c r="W434" s="17" t="str">
        <f aca="false">IF(OR(B434="Same Day",B434="First Class"),"Fast","Standard")</f>
        <v>Standard</v>
      </c>
      <c r="X434" s="19" t="n">
        <f aca="false">ROUND(K434/L434,2)</f>
        <v>2.38</v>
      </c>
    </row>
    <row r="435" customFormat="false" ht="15" hidden="false" customHeight="false" outlineLevel="0" collapsed="false">
      <c r="A435" s="14" t="n">
        <v>434</v>
      </c>
      <c r="B435" s="14" t="s">
        <v>171</v>
      </c>
      <c r="C435" s="14" t="s">
        <v>7</v>
      </c>
      <c r="D435" s="14" t="s">
        <v>128</v>
      </c>
      <c r="E435" s="14" t="s">
        <v>274</v>
      </c>
      <c r="F435" s="14" t="s">
        <v>275</v>
      </c>
      <c r="G435" s="14" t="n">
        <v>1852</v>
      </c>
      <c r="H435" s="14" t="s">
        <v>166</v>
      </c>
      <c r="I435" s="14" t="s">
        <v>137</v>
      </c>
      <c r="J435" s="14" t="s">
        <v>143</v>
      </c>
      <c r="K435" s="15" t="n">
        <v>714.3</v>
      </c>
      <c r="L435" s="14" t="n">
        <v>5</v>
      </c>
      <c r="M435" s="16" t="n">
        <v>0</v>
      </c>
      <c r="N435" s="15" t="n">
        <v>207.147</v>
      </c>
      <c r="O435" s="17" t="str">
        <f aca="false">UPPER(LEFT(F435,3))&amp;"-"&amp;G435</f>
        <v>MAS-1852</v>
      </c>
      <c r="P435" s="17" t="str">
        <f aca="false">PROPER(TRIM(E435))</f>
        <v>Lowell</v>
      </c>
      <c r="Q435" s="17" t="str">
        <f aca="false">IFERROR(VLOOKUP(F435,Lookups!$A$2:$B$50,2,FALSE()),"Not found")</f>
        <v>East</v>
      </c>
      <c r="R435" s="17" t="str">
        <f aca="false">IF(Q435=H435,"Match","Mismatch")</f>
        <v>Match</v>
      </c>
      <c r="S435" s="17" t="str">
        <f aca="false">IFERROR(INDEX(SubCatCat,MATCH(J435,SubCatName,0)),"Not found")</f>
        <v>Office Supplies</v>
      </c>
      <c r="T435" s="18" t="n">
        <f aca="false">IF(K435=0,0,N435/K435)</f>
        <v>0.29</v>
      </c>
      <c r="U435" s="17" t="str">
        <f aca="false">IF(N435&lt;0,"Loss",IF(T435&gt;=0.2,"High margin","Normal"))</f>
        <v>High margin</v>
      </c>
      <c r="V435" s="17" t="str">
        <f aca="false">IF(M435=0,"No discount",IF(M435&lt;=0.2,"Low",IF(M435&lt;=0.4,"Medium","High")))</f>
        <v>No discount</v>
      </c>
      <c r="W435" s="17" t="str">
        <f aca="false">IF(OR(B435="Same Day",B435="First Class"),"Fast","Standard")</f>
        <v>Fast</v>
      </c>
      <c r="X435" s="19" t="n">
        <f aca="false">ROUND(K435/L435,2)</f>
        <v>142.86</v>
      </c>
    </row>
    <row r="436" customFormat="false" ht="15" hidden="false" customHeight="false" outlineLevel="0" collapsed="false">
      <c r="A436" s="14" t="n">
        <v>435</v>
      </c>
      <c r="B436" s="14" t="s">
        <v>139</v>
      </c>
      <c r="C436" s="14" t="s">
        <v>7</v>
      </c>
      <c r="D436" s="14" t="s">
        <v>128</v>
      </c>
      <c r="E436" s="14" t="s">
        <v>298</v>
      </c>
      <c r="F436" s="14" t="s">
        <v>141</v>
      </c>
      <c r="G436" s="14" t="n">
        <v>32216</v>
      </c>
      <c r="H436" s="14" t="s">
        <v>131</v>
      </c>
      <c r="I436" s="14" t="s">
        <v>137</v>
      </c>
      <c r="J436" s="14" t="s">
        <v>146</v>
      </c>
      <c r="K436" s="15" t="n">
        <v>4.812</v>
      </c>
      <c r="L436" s="14" t="n">
        <v>2</v>
      </c>
      <c r="M436" s="16" t="n">
        <v>0.7</v>
      </c>
      <c r="N436" s="15" t="n">
        <v>-3.6892</v>
      </c>
      <c r="O436" s="17" t="str">
        <f aca="false">UPPER(LEFT(F436,3))&amp;"-"&amp;G436</f>
        <v>FLO-32216</v>
      </c>
      <c r="P436" s="17" t="str">
        <f aca="false">PROPER(TRIM(E436))</f>
        <v>Jacksonville</v>
      </c>
      <c r="Q436" s="17" t="str">
        <f aca="false">IFERROR(VLOOKUP(F436,Lookups!$A$2:$B$50,2,FALSE()),"Not found")</f>
        <v>South</v>
      </c>
      <c r="R436" s="17" t="str">
        <f aca="false">IF(Q436=H436,"Match","Mismatch")</f>
        <v>Match</v>
      </c>
      <c r="S436" s="17" t="str">
        <f aca="false">IFERROR(INDEX(SubCatCat,MATCH(J436,SubCatName,0)),"Not found")</f>
        <v>Office Supplies</v>
      </c>
      <c r="T436" s="18" t="n">
        <f aca="false">IF(K436=0,0,N436/K436)</f>
        <v>-0.766666666666667</v>
      </c>
      <c r="U436" s="17" t="str">
        <f aca="false">IF(N436&lt;0,"Loss",IF(T436&gt;=0.2,"High margin","Normal"))</f>
        <v>Loss</v>
      </c>
      <c r="V436" s="17" t="str">
        <f aca="false">IF(M436=0,"No discount",IF(M436&lt;=0.2,"Low",IF(M436&lt;=0.4,"Medium","High")))</f>
        <v>High</v>
      </c>
      <c r="W436" s="17" t="str">
        <f aca="false">IF(OR(B436="Same Day",B436="First Class"),"Fast","Standard")</f>
        <v>Standard</v>
      </c>
      <c r="X436" s="19" t="n">
        <f aca="false">ROUND(K436/L436,2)</f>
        <v>2.41</v>
      </c>
    </row>
    <row r="437" customFormat="false" ht="15" hidden="false" customHeight="false" outlineLevel="0" collapsed="false">
      <c r="A437" s="14" t="n">
        <v>436</v>
      </c>
      <c r="B437" s="14" t="s">
        <v>139</v>
      </c>
      <c r="C437" s="14" t="s">
        <v>7</v>
      </c>
      <c r="D437" s="14" t="s">
        <v>128</v>
      </c>
      <c r="E437" s="14" t="s">
        <v>298</v>
      </c>
      <c r="F437" s="14" t="s">
        <v>141</v>
      </c>
      <c r="G437" s="14" t="n">
        <v>32216</v>
      </c>
      <c r="H437" s="14" t="s">
        <v>131</v>
      </c>
      <c r="I437" s="14" t="s">
        <v>5</v>
      </c>
      <c r="J437" s="14" t="s">
        <v>168</v>
      </c>
      <c r="K437" s="15" t="n">
        <v>247.8</v>
      </c>
      <c r="L437" s="14" t="n">
        <v>5</v>
      </c>
      <c r="M437" s="16" t="n">
        <v>0.2</v>
      </c>
      <c r="N437" s="15" t="n">
        <v>-18.585</v>
      </c>
      <c r="O437" s="17" t="str">
        <f aca="false">UPPER(LEFT(F437,3))&amp;"-"&amp;G437</f>
        <v>FLO-32216</v>
      </c>
      <c r="P437" s="17" t="str">
        <f aca="false">PROPER(TRIM(E437))</f>
        <v>Jacksonville</v>
      </c>
      <c r="Q437" s="17" t="str">
        <f aca="false">IFERROR(VLOOKUP(F437,Lookups!$A$2:$B$50,2,FALSE()),"Not found")</f>
        <v>South</v>
      </c>
      <c r="R437" s="17" t="str">
        <f aca="false">IF(Q437=H437,"Match","Mismatch")</f>
        <v>Match</v>
      </c>
      <c r="S437" s="17" t="str">
        <f aca="false">IFERROR(INDEX(SubCatCat,MATCH(J437,SubCatName,0)),"Not found")</f>
        <v>Technology</v>
      </c>
      <c r="T437" s="18" t="n">
        <f aca="false">IF(K437=0,0,N437/K437)</f>
        <v>-0.075</v>
      </c>
      <c r="U437" s="17" t="str">
        <f aca="false">IF(N437&lt;0,"Loss",IF(T437&gt;=0.2,"High margin","Normal"))</f>
        <v>Loss</v>
      </c>
      <c r="V437" s="17" t="str">
        <f aca="false">IF(M437=0,"No discount",IF(M437&lt;=0.2,"Low",IF(M437&lt;=0.4,"Medium","High")))</f>
        <v>Low</v>
      </c>
      <c r="W437" s="17" t="str">
        <f aca="false">IF(OR(B437="Same Day",B437="First Class"),"Fast","Standard")</f>
        <v>Standard</v>
      </c>
      <c r="X437" s="19" t="n">
        <f aca="false">ROUND(K437/L437,2)</f>
        <v>49.56</v>
      </c>
    </row>
    <row r="438" customFormat="false" ht="15" hidden="false" customHeight="false" outlineLevel="0" collapsed="false">
      <c r="A438" s="14" t="n">
        <v>437</v>
      </c>
      <c r="B438" s="14" t="s">
        <v>127</v>
      </c>
      <c r="C438" s="14" t="s">
        <v>153</v>
      </c>
      <c r="D438" s="14" t="s">
        <v>128</v>
      </c>
      <c r="E438" s="14" t="s">
        <v>188</v>
      </c>
      <c r="F438" s="14" t="s">
        <v>174</v>
      </c>
      <c r="G438" s="14" t="n">
        <v>60623</v>
      </c>
      <c r="H438" s="14" t="s">
        <v>156</v>
      </c>
      <c r="I438" s="14" t="s">
        <v>5</v>
      </c>
      <c r="J438" s="14" t="s">
        <v>232</v>
      </c>
      <c r="K438" s="15" t="n">
        <v>1007.979</v>
      </c>
      <c r="L438" s="14" t="n">
        <v>3</v>
      </c>
      <c r="M438" s="16" t="n">
        <v>0.3</v>
      </c>
      <c r="N438" s="15" t="n">
        <v>43.1991</v>
      </c>
      <c r="O438" s="17" t="str">
        <f aca="false">UPPER(LEFT(F438,3))&amp;"-"&amp;G438</f>
        <v>ILL-60623</v>
      </c>
      <c r="P438" s="17" t="str">
        <f aca="false">PROPER(TRIM(E438))</f>
        <v>Chicago</v>
      </c>
      <c r="Q438" s="17" t="str">
        <f aca="false">IFERROR(VLOOKUP(F438,Lookups!$A$2:$B$50,2,FALSE()),"Not found")</f>
        <v>Central</v>
      </c>
      <c r="R438" s="17" t="str">
        <f aca="false">IF(Q438=H438,"Match","Mismatch")</f>
        <v>Match</v>
      </c>
      <c r="S438" s="17" t="str">
        <f aca="false">IFERROR(INDEX(SubCatCat,MATCH(J438,SubCatName,0)),"Not found")</f>
        <v>Technology</v>
      </c>
      <c r="T438" s="18" t="n">
        <f aca="false">IF(K438=0,0,N438/K438)</f>
        <v>0.0428571428571429</v>
      </c>
      <c r="U438" s="17" t="str">
        <f aca="false">IF(N438&lt;0,"Loss",IF(T438&gt;=0.2,"High margin","Normal"))</f>
        <v>Normal</v>
      </c>
      <c r="V438" s="17" t="str">
        <f aca="false">IF(M438=0,"No discount",IF(M438&lt;=0.2,"Low",IF(M438&lt;=0.4,"Medium","High")))</f>
        <v>Medium</v>
      </c>
      <c r="W438" s="17" t="str">
        <f aca="false">IF(OR(B438="Same Day",B438="First Class"),"Fast","Standard")</f>
        <v>Standard</v>
      </c>
      <c r="X438" s="19" t="n">
        <f aca="false">ROUND(K438/L438,2)</f>
        <v>335.99</v>
      </c>
    </row>
    <row r="439" customFormat="false" ht="15" hidden="false" customHeight="false" outlineLevel="0" collapsed="false">
      <c r="A439" s="14" t="n">
        <v>438</v>
      </c>
      <c r="B439" s="14" t="s">
        <v>127</v>
      </c>
      <c r="C439" s="14" t="s">
        <v>153</v>
      </c>
      <c r="D439" s="14" t="s">
        <v>128</v>
      </c>
      <c r="E439" s="14" t="s">
        <v>188</v>
      </c>
      <c r="F439" s="14" t="s">
        <v>174</v>
      </c>
      <c r="G439" s="14" t="n">
        <v>60623</v>
      </c>
      <c r="H439" s="14" t="s">
        <v>156</v>
      </c>
      <c r="I439" s="14" t="s">
        <v>137</v>
      </c>
      <c r="J439" s="14" t="s">
        <v>150</v>
      </c>
      <c r="K439" s="15" t="n">
        <v>313.488</v>
      </c>
      <c r="L439" s="14" t="n">
        <v>7</v>
      </c>
      <c r="M439" s="16" t="n">
        <v>0.2</v>
      </c>
      <c r="N439" s="15" t="n">
        <v>113.6394</v>
      </c>
      <c r="O439" s="17" t="str">
        <f aca="false">UPPER(LEFT(F439,3))&amp;"-"&amp;G439</f>
        <v>ILL-60623</v>
      </c>
      <c r="P439" s="17" t="str">
        <f aca="false">PROPER(TRIM(E439))</f>
        <v>Chicago</v>
      </c>
      <c r="Q439" s="17" t="str">
        <f aca="false">IFERROR(VLOOKUP(F439,Lookups!$A$2:$B$50,2,FALSE()),"Not found")</f>
        <v>Central</v>
      </c>
      <c r="R439" s="17" t="str">
        <f aca="false">IF(Q439=H439,"Match","Mismatch")</f>
        <v>Match</v>
      </c>
      <c r="S439" s="17" t="str">
        <f aca="false">IFERROR(INDEX(SubCatCat,MATCH(J439,SubCatName,0)),"Not found")</f>
        <v>Office Supplies</v>
      </c>
      <c r="T439" s="18" t="n">
        <f aca="false">IF(K439=0,0,N439/K439)</f>
        <v>0.3625</v>
      </c>
      <c r="U439" s="17" t="str">
        <f aca="false">IF(N439&lt;0,"Loss",IF(T439&gt;=0.2,"High margin","Normal"))</f>
        <v>High margin</v>
      </c>
      <c r="V439" s="17" t="str">
        <f aca="false">IF(M439=0,"No discount",IF(M439&lt;=0.2,"Low",IF(M439&lt;=0.4,"Medium","High")))</f>
        <v>Low</v>
      </c>
      <c r="W439" s="17" t="str">
        <f aca="false">IF(OR(B439="Same Day",B439="First Class"),"Fast","Standard")</f>
        <v>Standard</v>
      </c>
      <c r="X439" s="19" t="n">
        <f aca="false">ROUND(K439/L439,2)</f>
        <v>44.78</v>
      </c>
    </row>
    <row r="440" customFormat="false" ht="15" hidden="false" customHeight="false" outlineLevel="0" collapsed="false">
      <c r="A440" s="14" t="n">
        <v>439</v>
      </c>
      <c r="B440" s="14" t="s">
        <v>139</v>
      </c>
      <c r="C440" s="14" t="s">
        <v>135</v>
      </c>
      <c r="D440" s="14" t="s">
        <v>128</v>
      </c>
      <c r="E440" s="14" t="s">
        <v>170</v>
      </c>
      <c r="F440" s="14" t="s">
        <v>155</v>
      </c>
      <c r="G440" s="14" t="n">
        <v>77070</v>
      </c>
      <c r="H440" s="14" t="s">
        <v>156</v>
      </c>
      <c r="I440" s="14" t="s">
        <v>137</v>
      </c>
      <c r="J440" s="14" t="s">
        <v>150</v>
      </c>
      <c r="K440" s="15" t="n">
        <v>31.872</v>
      </c>
      <c r="L440" s="14" t="n">
        <v>8</v>
      </c>
      <c r="M440" s="16" t="n">
        <v>0.2</v>
      </c>
      <c r="N440" s="15" t="n">
        <v>11.5536</v>
      </c>
      <c r="O440" s="17" t="str">
        <f aca="false">UPPER(LEFT(F440,3))&amp;"-"&amp;G440</f>
        <v>TEX-77070</v>
      </c>
      <c r="P440" s="17" t="str">
        <f aca="false">PROPER(TRIM(E440))</f>
        <v>Houston</v>
      </c>
      <c r="Q440" s="17" t="str">
        <f aca="false">IFERROR(VLOOKUP(F440,Lookups!$A$2:$B$50,2,FALSE()),"Not found")</f>
        <v>Central</v>
      </c>
      <c r="R440" s="17" t="str">
        <f aca="false">IF(Q440=H440,"Match","Mismatch")</f>
        <v>Match</v>
      </c>
      <c r="S440" s="17" t="str">
        <f aca="false">IFERROR(INDEX(SubCatCat,MATCH(J440,SubCatName,0)),"Not found")</f>
        <v>Office Supplies</v>
      </c>
      <c r="T440" s="18" t="n">
        <f aca="false">IF(K440=0,0,N440/K440)</f>
        <v>0.3625</v>
      </c>
      <c r="U440" s="17" t="str">
        <f aca="false">IF(N440&lt;0,"Loss",IF(T440&gt;=0.2,"High margin","Normal"))</f>
        <v>High margin</v>
      </c>
      <c r="V440" s="17" t="str">
        <f aca="false">IF(M440=0,"No discount",IF(M440&lt;=0.2,"Low",IF(M440&lt;=0.4,"Medium","High")))</f>
        <v>Low</v>
      </c>
      <c r="W440" s="17" t="str">
        <f aca="false">IF(OR(B440="Same Day",B440="First Class"),"Fast","Standard")</f>
        <v>Standard</v>
      </c>
      <c r="X440" s="19" t="n">
        <f aca="false">ROUND(K440/L440,2)</f>
        <v>3.98</v>
      </c>
    </row>
    <row r="441" customFormat="false" ht="15" hidden="false" customHeight="false" outlineLevel="0" collapsed="false">
      <c r="A441" s="14" t="n">
        <v>440</v>
      </c>
      <c r="B441" s="14" t="s">
        <v>127</v>
      </c>
      <c r="C441" s="14" t="s">
        <v>135</v>
      </c>
      <c r="D441" s="14" t="s">
        <v>128</v>
      </c>
      <c r="E441" s="14" t="s">
        <v>184</v>
      </c>
      <c r="F441" s="14" t="s">
        <v>185</v>
      </c>
      <c r="G441" s="14" t="n">
        <v>10024</v>
      </c>
      <c r="H441" s="14" t="s">
        <v>166</v>
      </c>
      <c r="I441" s="14" t="s">
        <v>132</v>
      </c>
      <c r="J441" s="14" t="s">
        <v>134</v>
      </c>
      <c r="K441" s="15" t="n">
        <v>207.846</v>
      </c>
      <c r="L441" s="14" t="n">
        <v>3</v>
      </c>
      <c r="M441" s="16" t="n">
        <v>0.1</v>
      </c>
      <c r="N441" s="15" t="n">
        <v>2.3094</v>
      </c>
      <c r="O441" s="17" t="str">
        <f aca="false">UPPER(LEFT(F441,3))&amp;"-"&amp;G441</f>
        <v>NEW-10024</v>
      </c>
      <c r="P441" s="17" t="str">
        <f aca="false">PROPER(TRIM(E441))</f>
        <v>New York City</v>
      </c>
      <c r="Q441" s="17" t="str">
        <f aca="false">IFERROR(VLOOKUP(F441,Lookups!$A$2:$B$50,2,FALSE()),"Not found")</f>
        <v>East</v>
      </c>
      <c r="R441" s="17" t="str">
        <f aca="false">IF(Q441=H441,"Match","Mismatch")</f>
        <v>Match</v>
      </c>
      <c r="S441" s="17" t="str">
        <f aca="false">IFERROR(INDEX(SubCatCat,MATCH(J441,SubCatName,0)),"Not found")</f>
        <v>Furniture</v>
      </c>
      <c r="T441" s="18" t="n">
        <f aca="false">IF(K441=0,0,N441/K441)</f>
        <v>0.0111111111111111</v>
      </c>
      <c r="U441" s="17" t="str">
        <f aca="false">IF(N441&lt;0,"Loss",IF(T441&gt;=0.2,"High margin","Normal"))</f>
        <v>Normal</v>
      </c>
      <c r="V441" s="17" t="str">
        <f aca="false">IF(M441=0,"No discount",IF(M441&lt;=0.2,"Low",IF(M441&lt;=0.4,"Medium","High")))</f>
        <v>Low</v>
      </c>
      <c r="W441" s="17" t="str">
        <f aca="false">IF(OR(B441="Same Day",B441="First Class"),"Fast","Standard")</f>
        <v>Standard</v>
      </c>
      <c r="X441" s="19" t="n">
        <f aca="false">ROUND(K441/L441,2)</f>
        <v>69.28</v>
      </c>
    </row>
    <row r="442" customFormat="false" ht="15" hidden="false" customHeight="false" outlineLevel="0" collapsed="false">
      <c r="A442" s="14" t="n">
        <v>441</v>
      </c>
      <c r="B442" s="14" t="s">
        <v>127</v>
      </c>
      <c r="C442" s="14" t="s">
        <v>7</v>
      </c>
      <c r="D442" s="14" t="s">
        <v>128</v>
      </c>
      <c r="E442" s="14" t="s">
        <v>249</v>
      </c>
      <c r="F442" s="14" t="s">
        <v>179</v>
      </c>
      <c r="G442" s="14" t="n">
        <v>48227</v>
      </c>
      <c r="H442" s="14" t="s">
        <v>156</v>
      </c>
      <c r="I442" s="14" t="s">
        <v>132</v>
      </c>
      <c r="J442" s="14" t="s">
        <v>144</v>
      </c>
      <c r="K442" s="15" t="n">
        <v>12.22</v>
      </c>
      <c r="L442" s="14" t="n">
        <v>1</v>
      </c>
      <c r="M442" s="16" t="n">
        <v>0</v>
      </c>
      <c r="N442" s="15" t="n">
        <v>3.666</v>
      </c>
      <c r="O442" s="17" t="str">
        <f aca="false">UPPER(LEFT(F442,3))&amp;"-"&amp;G442</f>
        <v>MIC-48227</v>
      </c>
      <c r="P442" s="17" t="str">
        <f aca="false">PROPER(TRIM(E442))</f>
        <v>Detroit</v>
      </c>
      <c r="Q442" s="17" t="str">
        <f aca="false">IFERROR(VLOOKUP(F442,Lookups!$A$2:$B$50,2,FALSE()),"Not found")</f>
        <v>Central</v>
      </c>
      <c r="R442" s="17" t="str">
        <f aca="false">IF(Q442=H442,"Match","Mismatch")</f>
        <v>Match</v>
      </c>
      <c r="S442" s="17" t="str">
        <f aca="false">IFERROR(INDEX(SubCatCat,MATCH(J442,SubCatName,0)),"Not found")</f>
        <v>Furniture</v>
      </c>
      <c r="T442" s="18" t="n">
        <f aca="false">IF(K442=0,0,N442/K442)</f>
        <v>0.3</v>
      </c>
      <c r="U442" s="17" t="str">
        <f aca="false">IF(N442&lt;0,"Loss",IF(T442&gt;=0.2,"High margin","Normal"))</f>
        <v>High margin</v>
      </c>
      <c r="V442" s="17" t="str">
        <f aca="false">IF(M442=0,"No discount",IF(M442&lt;=0.2,"Low",IF(M442&lt;=0.4,"Medium","High")))</f>
        <v>No discount</v>
      </c>
      <c r="W442" s="17" t="str">
        <f aca="false">IF(OR(B442="Same Day",B442="First Class"),"Fast","Standard")</f>
        <v>Standard</v>
      </c>
      <c r="X442" s="19" t="n">
        <f aca="false">ROUND(K442/L442,2)</f>
        <v>12.22</v>
      </c>
    </row>
    <row r="443" customFormat="false" ht="15" hidden="false" customHeight="false" outlineLevel="0" collapsed="false">
      <c r="A443" s="14" t="n">
        <v>442</v>
      </c>
      <c r="B443" s="14" t="s">
        <v>127</v>
      </c>
      <c r="C443" s="14" t="s">
        <v>7</v>
      </c>
      <c r="D443" s="14" t="s">
        <v>128</v>
      </c>
      <c r="E443" s="14" t="s">
        <v>249</v>
      </c>
      <c r="F443" s="14" t="s">
        <v>179</v>
      </c>
      <c r="G443" s="14" t="n">
        <v>48227</v>
      </c>
      <c r="H443" s="14" t="s">
        <v>156</v>
      </c>
      <c r="I443" s="14" t="s">
        <v>137</v>
      </c>
      <c r="J443" s="14" t="s">
        <v>143</v>
      </c>
      <c r="K443" s="15" t="n">
        <v>194.94</v>
      </c>
      <c r="L443" s="14" t="n">
        <v>3</v>
      </c>
      <c r="M443" s="16" t="n">
        <v>0</v>
      </c>
      <c r="N443" s="15" t="n">
        <v>23.3928</v>
      </c>
      <c r="O443" s="17" t="str">
        <f aca="false">UPPER(LEFT(F443,3))&amp;"-"&amp;G443</f>
        <v>MIC-48227</v>
      </c>
      <c r="P443" s="17" t="str">
        <f aca="false">PROPER(TRIM(E443))</f>
        <v>Detroit</v>
      </c>
      <c r="Q443" s="17" t="str">
        <f aca="false">IFERROR(VLOOKUP(F443,Lookups!$A$2:$B$50,2,FALSE()),"Not found")</f>
        <v>Central</v>
      </c>
      <c r="R443" s="17" t="str">
        <f aca="false">IF(Q443=H443,"Match","Mismatch")</f>
        <v>Match</v>
      </c>
      <c r="S443" s="17" t="str">
        <f aca="false">IFERROR(INDEX(SubCatCat,MATCH(J443,SubCatName,0)),"Not found")</f>
        <v>Office Supplies</v>
      </c>
      <c r="T443" s="18" t="n">
        <f aca="false">IF(K443=0,0,N443/K443)</f>
        <v>0.12</v>
      </c>
      <c r="U443" s="17" t="str">
        <f aca="false">IF(N443&lt;0,"Loss",IF(T443&gt;=0.2,"High margin","Normal"))</f>
        <v>Normal</v>
      </c>
      <c r="V443" s="17" t="str">
        <f aca="false">IF(M443=0,"No discount",IF(M443&lt;=0.2,"Low",IF(M443&lt;=0.4,"Medium","High")))</f>
        <v>No discount</v>
      </c>
      <c r="W443" s="17" t="str">
        <f aca="false">IF(OR(B443="Same Day",B443="First Class"),"Fast","Standard")</f>
        <v>Standard</v>
      </c>
      <c r="X443" s="19" t="n">
        <f aca="false">ROUND(K443/L443,2)</f>
        <v>64.98</v>
      </c>
    </row>
    <row r="444" customFormat="false" ht="15" hidden="false" customHeight="false" outlineLevel="0" collapsed="false">
      <c r="A444" s="14" t="n">
        <v>443</v>
      </c>
      <c r="B444" s="14" t="s">
        <v>127</v>
      </c>
      <c r="C444" s="14" t="s">
        <v>7</v>
      </c>
      <c r="D444" s="14" t="s">
        <v>128</v>
      </c>
      <c r="E444" s="14" t="s">
        <v>249</v>
      </c>
      <c r="F444" s="14" t="s">
        <v>179</v>
      </c>
      <c r="G444" s="14" t="n">
        <v>48227</v>
      </c>
      <c r="H444" s="14" t="s">
        <v>156</v>
      </c>
      <c r="I444" s="14" t="s">
        <v>137</v>
      </c>
      <c r="J444" s="14" t="s">
        <v>143</v>
      </c>
      <c r="K444" s="15" t="n">
        <v>70.95</v>
      </c>
      <c r="L444" s="14" t="n">
        <v>3</v>
      </c>
      <c r="M444" s="16" t="n">
        <v>0</v>
      </c>
      <c r="N444" s="15" t="n">
        <v>20.5755</v>
      </c>
      <c r="O444" s="17" t="str">
        <f aca="false">UPPER(LEFT(F444,3))&amp;"-"&amp;G444</f>
        <v>MIC-48227</v>
      </c>
      <c r="P444" s="17" t="str">
        <f aca="false">PROPER(TRIM(E444))</f>
        <v>Detroit</v>
      </c>
      <c r="Q444" s="17" t="str">
        <f aca="false">IFERROR(VLOOKUP(F444,Lookups!$A$2:$B$50,2,FALSE()),"Not found")</f>
        <v>Central</v>
      </c>
      <c r="R444" s="17" t="str">
        <f aca="false">IF(Q444=H444,"Match","Mismatch")</f>
        <v>Match</v>
      </c>
      <c r="S444" s="17" t="str">
        <f aca="false">IFERROR(INDEX(SubCatCat,MATCH(J444,SubCatName,0)),"Not found")</f>
        <v>Office Supplies</v>
      </c>
      <c r="T444" s="18" t="n">
        <f aca="false">IF(K444=0,0,N444/K444)</f>
        <v>0.29</v>
      </c>
      <c r="U444" s="17" t="str">
        <f aca="false">IF(N444&lt;0,"Loss",IF(T444&gt;=0.2,"High margin","Normal"))</f>
        <v>High margin</v>
      </c>
      <c r="V444" s="17" t="str">
        <f aca="false">IF(M444=0,"No discount",IF(M444&lt;=0.2,"Low",IF(M444&lt;=0.4,"Medium","High")))</f>
        <v>No discount</v>
      </c>
      <c r="W444" s="17" t="str">
        <f aca="false">IF(OR(B444="Same Day",B444="First Class"),"Fast","Standard")</f>
        <v>Standard</v>
      </c>
      <c r="X444" s="19" t="n">
        <f aca="false">ROUND(K444/L444,2)</f>
        <v>23.65</v>
      </c>
    </row>
    <row r="445" customFormat="false" ht="15" hidden="false" customHeight="false" outlineLevel="0" collapsed="false">
      <c r="A445" s="14" t="n">
        <v>444</v>
      </c>
      <c r="B445" s="14" t="s">
        <v>127</v>
      </c>
      <c r="C445" s="14" t="s">
        <v>7</v>
      </c>
      <c r="D445" s="14" t="s">
        <v>128</v>
      </c>
      <c r="E445" s="14" t="s">
        <v>249</v>
      </c>
      <c r="F445" s="14" t="s">
        <v>179</v>
      </c>
      <c r="G445" s="14" t="n">
        <v>48227</v>
      </c>
      <c r="H445" s="14" t="s">
        <v>156</v>
      </c>
      <c r="I445" s="14" t="s">
        <v>137</v>
      </c>
      <c r="J445" s="14" t="s">
        <v>150</v>
      </c>
      <c r="K445" s="15" t="n">
        <v>91.36</v>
      </c>
      <c r="L445" s="14" t="n">
        <v>4</v>
      </c>
      <c r="M445" s="16" t="n">
        <v>0</v>
      </c>
      <c r="N445" s="15" t="n">
        <v>42.0256</v>
      </c>
      <c r="O445" s="17" t="str">
        <f aca="false">UPPER(LEFT(F445,3))&amp;"-"&amp;G445</f>
        <v>MIC-48227</v>
      </c>
      <c r="P445" s="17" t="str">
        <f aca="false">PROPER(TRIM(E445))</f>
        <v>Detroit</v>
      </c>
      <c r="Q445" s="17" t="str">
        <f aca="false">IFERROR(VLOOKUP(F445,Lookups!$A$2:$B$50,2,FALSE()),"Not found")</f>
        <v>Central</v>
      </c>
      <c r="R445" s="17" t="str">
        <f aca="false">IF(Q445=H445,"Match","Mismatch")</f>
        <v>Match</v>
      </c>
      <c r="S445" s="17" t="str">
        <f aca="false">IFERROR(INDEX(SubCatCat,MATCH(J445,SubCatName,0)),"Not found")</f>
        <v>Office Supplies</v>
      </c>
      <c r="T445" s="18" t="n">
        <f aca="false">IF(K445=0,0,N445/K445)</f>
        <v>0.46</v>
      </c>
      <c r="U445" s="17" t="str">
        <f aca="false">IF(N445&lt;0,"Loss",IF(T445&gt;=0.2,"High margin","Normal"))</f>
        <v>High margin</v>
      </c>
      <c r="V445" s="17" t="str">
        <f aca="false">IF(M445=0,"No discount",IF(M445&lt;=0.2,"Low",IF(M445&lt;=0.4,"Medium","High")))</f>
        <v>No discount</v>
      </c>
      <c r="W445" s="17" t="str">
        <f aca="false">IF(OR(B445="Same Day",B445="First Class"),"Fast","Standard")</f>
        <v>Standard</v>
      </c>
      <c r="X445" s="19" t="n">
        <f aca="false">ROUND(K445/L445,2)</f>
        <v>22.84</v>
      </c>
    </row>
    <row r="446" customFormat="false" ht="15" hidden="false" customHeight="false" outlineLevel="0" collapsed="false">
      <c r="A446" s="14" t="n">
        <v>445</v>
      </c>
      <c r="B446" s="14" t="s">
        <v>127</v>
      </c>
      <c r="C446" s="14" t="s">
        <v>7</v>
      </c>
      <c r="D446" s="14" t="s">
        <v>128</v>
      </c>
      <c r="E446" s="14" t="s">
        <v>249</v>
      </c>
      <c r="F446" s="14" t="s">
        <v>179</v>
      </c>
      <c r="G446" s="14" t="n">
        <v>48227</v>
      </c>
      <c r="H446" s="14" t="s">
        <v>156</v>
      </c>
      <c r="I446" s="14" t="s">
        <v>132</v>
      </c>
      <c r="J446" s="14" t="s">
        <v>134</v>
      </c>
      <c r="K446" s="15" t="n">
        <v>242.94</v>
      </c>
      <c r="L446" s="14" t="n">
        <v>3</v>
      </c>
      <c r="M446" s="16" t="n">
        <v>0</v>
      </c>
      <c r="N446" s="15" t="n">
        <v>29.1528</v>
      </c>
      <c r="O446" s="17" t="str">
        <f aca="false">UPPER(LEFT(F446,3))&amp;"-"&amp;G446</f>
        <v>MIC-48227</v>
      </c>
      <c r="P446" s="17" t="str">
        <f aca="false">PROPER(TRIM(E446))</f>
        <v>Detroit</v>
      </c>
      <c r="Q446" s="17" t="str">
        <f aca="false">IFERROR(VLOOKUP(F446,Lookups!$A$2:$B$50,2,FALSE()),"Not found")</f>
        <v>Central</v>
      </c>
      <c r="R446" s="17" t="str">
        <f aca="false">IF(Q446=H446,"Match","Mismatch")</f>
        <v>Match</v>
      </c>
      <c r="S446" s="17" t="str">
        <f aca="false">IFERROR(INDEX(SubCatCat,MATCH(J446,SubCatName,0)),"Not found")</f>
        <v>Furniture</v>
      </c>
      <c r="T446" s="18" t="n">
        <f aca="false">IF(K446=0,0,N446/K446)</f>
        <v>0.12</v>
      </c>
      <c r="U446" s="17" t="str">
        <f aca="false">IF(N446&lt;0,"Loss",IF(T446&gt;=0.2,"High margin","Normal"))</f>
        <v>Normal</v>
      </c>
      <c r="V446" s="17" t="str">
        <f aca="false">IF(M446=0,"No discount",IF(M446&lt;=0.2,"Low",IF(M446&lt;=0.4,"Medium","High")))</f>
        <v>No discount</v>
      </c>
      <c r="W446" s="17" t="str">
        <f aca="false">IF(OR(B446="Same Day",B446="First Class"),"Fast","Standard")</f>
        <v>Standard</v>
      </c>
      <c r="X446" s="19" t="n">
        <f aca="false">ROUND(K446/L446,2)</f>
        <v>80.98</v>
      </c>
    </row>
    <row r="447" customFormat="false" ht="15" hidden="false" customHeight="false" outlineLevel="0" collapsed="false">
      <c r="A447" s="14" t="n">
        <v>446</v>
      </c>
      <c r="B447" s="14" t="s">
        <v>127</v>
      </c>
      <c r="C447" s="14" t="s">
        <v>7</v>
      </c>
      <c r="D447" s="14" t="s">
        <v>128</v>
      </c>
      <c r="E447" s="14" t="s">
        <v>249</v>
      </c>
      <c r="F447" s="14" t="s">
        <v>179</v>
      </c>
      <c r="G447" s="14" t="n">
        <v>48227</v>
      </c>
      <c r="H447" s="14" t="s">
        <v>156</v>
      </c>
      <c r="I447" s="14" t="s">
        <v>137</v>
      </c>
      <c r="J447" s="14" t="s">
        <v>138</v>
      </c>
      <c r="K447" s="15" t="n">
        <v>22.05</v>
      </c>
      <c r="L447" s="14" t="n">
        <v>7</v>
      </c>
      <c r="M447" s="16" t="n">
        <v>0</v>
      </c>
      <c r="N447" s="15" t="n">
        <v>10.584</v>
      </c>
      <c r="O447" s="17" t="str">
        <f aca="false">UPPER(LEFT(F447,3))&amp;"-"&amp;G447</f>
        <v>MIC-48227</v>
      </c>
      <c r="P447" s="17" t="str">
        <f aca="false">PROPER(TRIM(E447))</f>
        <v>Detroit</v>
      </c>
      <c r="Q447" s="17" t="str">
        <f aca="false">IFERROR(VLOOKUP(F447,Lookups!$A$2:$B$50,2,FALSE()),"Not found")</f>
        <v>Central</v>
      </c>
      <c r="R447" s="17" t="str">
        <f aca="false">IF(Q447=H447,"Match","Mismatch")</f>
        <v>Match</v>
      </c>
      <c r="S447" s="17" t="str">
        <f aca="false">IFERROR(INDEX(SubCatCat,MATCH(J447,SubCatName,0)),"Not found")</f>
        <v>Office Supplies</v>
      </c>
      <c r="T447" s="18" t="n">
        <f aca="false">IF(K447=0,0,N447/K447)</f>
        <v>0.48</v>
      </c>
      <c r="U447" s="17" t="str">
        <f aca="false">IF(N447&lt;0,"Loss",IF(T447&gt;=0.2,"High margin","Normal"))</f>
        <v>High margin</v>
      </c>
      <c r="V447" s="17" t="str">
        <f aca="false">IF(M447=0,"No discount",IF(M447&lt;=0.2,"Low",IF(M447&lt;=0.4,"Medium","High")))</f>
        <v>No discount</v>
      </c>
      <c r="W447" s="17" t="str">
        <f aca="false">IF(OR(B447="Same Day",B447="First Class"),"Fast","Standard")</f>
        <v>Standard</v>
      </c>
      <c r="X447" s="19" t="n">
        <f aca="false">ROUND(K447/L447,2)</f>
        <v>3.15</v>
      </c>
    </row>
    <row r="448" customFormat="false" ht="15" hidden="false" customHeight="false" outlineLevel="0" collapsed="false">
      <c r="A448" s="14" t="n">
        <v>447</v>
      </c>
      <c r="B448" s="14" t="s">
        <v>127</v>
      </c>
      <c r="C448" s="14" t="s">
        <v>7</v>
      </c>
      <c r="D448" s="14" t="s">
        <v>128</v>
      </c>
      <c r="E448" s="14" t="s">
        <v>212</v>
      </c>
      <c r="F448" s="14" t="s">
        <v>183</v>
      </c>
      <c r="G448" s="14" t="n">
        <v>47201</v>
      </c>
      <c r="H448" s="14" t="s">
        <v>156</v>
      </c>
      <c r="I448" s="14" t="s">
        <v>132</v>
      </c>
      <c r="J448" s="14" t="s">
        <v>144</v>
      </c>
      <c r="K448" s="15" t="n">
        <v>2.91</v>
      </c>
      <c r="L448" s="14" t="n">
        <v>1</v>
      </c>
      <c r="M448" s="16" t="n">
        <v>0</v>
      </c>
      <c r="N448" s="15" t="n">
        <v>1.3677</v>
      </c>
      <c r="O448" s="17" t="str">
        <f aca="false">UPPER(LEFT(F448,3))&amp;"-"&amp;G448</f>
        <v>IND-47201</v>
      </c>
      <c r="P448" s="17" t="str">
        <f aca="false">PROPER(TRIM(E448))</f>
        <v>Columbus</v>
      </c>
      <c r="Q448" s="17" t="str">
        <f aca="false">IFERROR(VLOOKUP(F448,Lookups!$A$2:$B$50,2,FALSE()),"Not found")</f>
        <v>Central</v>
      </c>
      <c r="R448" s="17" t="str">
        <f aca="false">IF(Q448=H448,"Match","Mismatch")</f>
        <v>Match</v>
      </c>
      <c r="S448" s="17" t="str">
        <f aca="false">IFERROR(INDEX(SubCatCat,MATCH(J448,SubCatName,0)),"Not found")</f>
        <v>Furniture</v>
      </c>
      <c r="T448" s="18" t="n">
        <f aca="false">IF(K448=0,0,N448/K448)</f>
        <v>0.47</v>
      </c>
      <c r="U448" s="17" t="str">
        <f aca="false">IF(N448&lt;0,"Loss",IF(T448&gt;=0.2,"High margin","Normal"))</f>
        <v>High margin</v>
      </c>
      <c r="V448" s="17" t="str">
        <f aca="false">IF(M448=0,"No discount",IF(M448&lt;=0.2,"Low",IF(M448&lt;=0.4,"Medium","High")))</f>
        <v>No discount</v>
      </c>
      <c r="W448" s="17" t="str">
        <f aca="false">IF(OR(B448="Same Day",B448="First Class"),"Fast","Standard")</f>
        <v>Standard</v>
      </c>
      <c r="X448" s="19" t="n">
        <f aca="false">ROUND(K448/L448,2)</f>
        <v>2.91</v>
      </c>
    </row>
    <row r="449" customFormat="false" ht="15" hidden="false" customHeight="false" outlineLevel="0" collapsed="false">
      <c r="A449" s="14" t="n">
        <v>448</v>
      </c>
      <c r="B449" s="14" t="s">
        <v>127</v>
      </c>
      <c r="C449" s="14" t="s">
        <v>7</v>
      </c>
      <c r="D449" s="14" t="s">
        <v>128</v>
      </c>
      <c r="E449" s="14" t="s">
        <v>299</v>
      </c>
      <c r="F449" s="14" t="s">
        <v>185</v>
      </c>
      <c r="G449" s="14" t="n">
        <v>13021</v>
      </c>
      <c r="H449" s="14" t="s">
        <v>166</v>
      </c>
      <c r="I449" s="14" t="s">
        <v>137</v>
      </c>
      <c r="J449" s="14" t="s">
        <v>145</v>
      </c>
      <c r="K449" s="15" t="n">
        <v>59.52</v>
      </c>
      <c r="L449" s="14" t="n">
        <v>3</v>
      </c>
      <c r="M449" s="16" t="n">
        <v>0</v>
      </c>
      <c r="N449" s="15" t="n">
        <v>15.4752</v>
      </c>
      <c r="O449" s="17" t="str">
        <f aca="false">UPPER(LEFT(F449,3))&amp;"-"&amp;G449</f>
        <v>NEW-13021</v>
      </c>
      <c r="P449" s="17" t="str">
        <f aca="false">PROPER(TRIM(E449))</f>
        <v>Auburn</v>
      </c>
      <c r="Q449" s="17" t="str">
        <f aca="false">IFERROR(VLOOKUP(F449,Lookups!$A$2:$B$50,2,FALSE()),"Not found")</f>
        <v>East</v>
      </c>
      <c r="R449" s="17" t="str">
        <f aca="false">IF(Q449=H449,"Match","Mismatch")</f>
        <v>Match</v>
      </c>
      <c r="S449" s="17" t="str">
        <f aca="false">IFERROR(INDEX(SubCatCat,MATCH(J449,SubCatName,0)),"Not found")</f>
        <v>Office Supplies</v>
      </c>
      <c r="T449" s="18" t="n">
        <f aca="false">IF(K449=0,0,N449/K449)</f>
        <v>0.26</v>
      </c>
      <c r="U449" s="17" t="str">
        <f aca="false">IF(N449&lt;0,"Loss",IF(T449&gt;=0.2,"High margin","Normal"))</f>
        <v>High margin</v>
      </c>
      <c r="V449" s="17" t="str">
        <f aca="false">IF(M449=0,"No discount",IF(M449&lt;=0.2,"Low",IF(M449&lt;=0.4,"Medium","High")))</f>
        <v>No discount</v>
      </c>
      <c r="W449" s="17" t="str">
        <f aca="false">IF(OR(B449="Same Day",B449="First Class"),"Fast","Standard")</f>
        <v>Standard</v>
      </c>
      <c r="X449" s="19" t="n">
        <f aca="false">ROUND(K449/L449,2)</f>
        <v>19.84</v>
      </c>
    </row>
    <row r="450" customFormat="false" ht="15" hidden="false" customHeight="false" outlineLevel="0" collapsed="false">
      <c r="A450" s="14" t="n">
        <v>449</v>
      </c>
      <c r="B450" s="14" t="s">
        <v>127</v>
      </c>
      <c r="C450" s="14" t="s">
        <v>7</v>
      </c>
      <c r="D450" s="14" t="s">
        <v>128</v>
      </c>
      <c r="E450" s="14" t="s">
        <v>299</v>
      </c>
      <c r="F450" s="14" t="s">
        <v>185</v>
      </c>
      <c r="G450" s="14" t="n">
        <v>13021</v>
      </c>
      <c r="H450" s="14" t="s">
        <v>166</v>
      </c>
      <c r="I450" s="14" t="s">
        <v>137</v>
      </c>
      <c r="J450" s="14" t="s">
        <v>143</v>
      </c>
      <c r="K450" s="15" t="n">
        <v>161.94</v>
      </c>
      <c r="L450" s="14" t="n">
        <v>3</v>
      </c>
      <c r="M450" s="16" t="n">
        <v>0</v>
      </c>
      <c r="N450" s="15" t="n">
        <v>9.7164</v>
      </c>
      <c r="O450" s="17" t="str">
        <f aca="false">UPPER(LEFT(F450,3))&amp;"-"&amp;G450</f>
        <v>NEW-13021</v>
      </c>
      <c r="P450" s="17" t="str">
        <f aca="false">PROPER(TRIM(E450))</f>
        <v>Auburn</v>
      </c>
      <c r="Q450" s="17" t="str">
        <f aca="false">IFERROR(VLOOKUP(F450,Lookups!$A$2:$B$50,2,FALSE()),"Not found")</f>
        <v>East</v>
      </c>
      <c r="R450" s="17" t="str">
        <f aca="false">IF(Q450=H450,"Match","Mismatch")</f>
        <v>Match</v>
      </c>
      <c r="S450" s="17" t="str">
        <f aca="false">IFERROR(INDEX(SubCatCat,MATCH(J450,SubCatName,0)),"Not found")</f>
        <v>Office Supplies</v>
      </c>
      <c r="T450" s="18" t="n">
        <f aca="false">IF(K450=0,0,N450/K450)</f>
        <v>0.06</v>
      </c>
      <c r="U450" s="17" t="str">
        <f aca="false">IF(N450&lt;0,"Loss",IF(T450&gt;=0.2,"High margin","Normal"))</f>
        <v>Normal</v>
      </c>
      <c r="V450" s="17" t="str">
        <f aca="false">IF(M450=0,"No discount",IF(M450&lt;=0.2,"Low",IF(M450&lt;=0.4,"Medium","High")))</f>
        <v>No discount</v>
      </c>
      <c r="W450" s="17" t="str">
        <f aca="false">IF(OR(B450="Same Day",B450="First Class"),"Fast","Standard")</f>
        <v>Standard</v>
      </c>
      <c r="X450" s="19" t="n">
        <f aca="false">ROUND(K450/L450,2)</f>
        <v>53.98</v>
      </c>
    </row>
    <row r="451" customFormat="false" ht="15" hidden="false" customHeight="false" outlineLevel="0" collapsed="false">
      <c r="A451" s="14" t="n">
        <v>450</v>
      </c>
      <c r="B451" s="14" t="s">
        <v>127</v>
      </c>
      <c r="C451" s="14" t="s">
        <v>7</v>
      </c>
      <c r="D451" s="14" t="s">
        <v>128</v>
      </c>
      <c r="E451" s="14" t="s">
        <v>299</v>
      </c>
      <c r="F451" s="14" t="s">
        <v>185</v>
      </c>
      <c r="G451" s="14" t="n">
        <v>13021</v>
      </c>
      <c r="H451" s="14" t="s">
        <v>166</v>
      </c>
      <c r="I451" s="14" t="s">
        <v>137</v>
      </c>
      <c r="J451" s="14" t="s">
        <v>145</v>
      </c>
      <c r="K451" s="15" t="n">
        <v>263.88</v>
      </c>
      <c r="L451" s="14" t="n">
        <v>6</v>
      </c>
      <c r="M451" s="16" t="n">
        <v>0</v>
      </c>
      <c r="N451" s="15" t="n">
        <v>71.2476</v>
      </c>
      <c r="O451" s="17" t="str">
        <f aca="false">UPPER(LEFT(F451,3))&amp;"-"&amp;G451</f>
        <v>NEW-13021</v>
      </c>
      <c r="P451" s="17" t="str">
        <f aca="false">PROPER(TRIM(E451))</f>
        <v>Auburn</v>
      </c>
      <c r="Q451" s="17" t="str">
        <f aca="false">IFERROR(VLOOKUP(F451,Lookups!$A$2:$B$50,2,FALSE()),"Not found")</f>
        <v>East</v>
      </c>
      <c r="R451" s="17" t="str">
        <f aca="false">IF(Q451=H451,"Match","Mismatch")</f>
        <v>Match</v>
      </c>
      <c r="S451" s="17" t="str">
        <f aca="false">IFERROR(INDEX(SubCatCat,MATCH(J451,SubCatName,0)),"Not found")</f>
        <v>Office Supplies</v>
      </c>
      <c r="T451" s="18" t="n">
        <f aca="false">IF(K451=0,0,N451/K451)</f>
        <v>0.27</v>
      </c>
      <c r="U451" s="17" t="str">
        <f aca="false">IF(N451&lt;0,"Loss",IF(T451&gt;=0.2,"High margin","Normal"))</f>
        <v>High margin</v>
      </c>
      <c r="V451" s="17" t="str">
        <f aca="false">IF(M451=0,"No discount",IF(M451&lt;=0.2,"Low",IF(M451&lt;=0.4,"Medium","High")))</f>
        <v>No discount</v>
      </c>
      <c r="W451" s="17" t="str">
        <f aca="false">IF(OR(B451="Same Day",B451="First Class"),"Fast","Standard")</f>
        <v>Standard</v>
      </c>
      <c r="X451" s="19" t="n">
        <f aca="false">ROUND(K451/L451,2)</f>
        <v>43.98</v>
      </c>
    </row>
    <row r="452" customFormat="false" ht="15" hidden="false" customHeight="false" outlineLevel="0" collapsed="false">
      <c r="A452" s="14" t="n">
        <v>451</v>
      </c>
      <c r="B452" s="14" t="s">
        <v>127</v>
      </c>
      <c r="C452" s="14" t="s">
        <v>7</v>
      </c>
      <c r="D452" s="14" t="s">
        <v>128</v>
      </c>
      <c r="E452" s="14" t="s">
        <v>299</v>
      </c>
      <c r="F452" s="14" t="s">
        <v>185</v>
      </c>
      <c r="G452" s="14" t="n">
        <v>13021</v>
      </c>
      <c r="H452" s="14" t="s">
        <v>166</v>
      </c>
      <c r="I452" s="14" t="s">
        <v>137</v>
      </c>
      <c r="J452" s="14" t="s">
        <v>145</v>
      </c>
      <c r="K452" s="15" t="n">
        <v>30.48</v>
      </c>
      <c r="L452" s="14" t="n">
        <v>3</v>
      </c>
      <c r="M452" s="16" t="n">
        <v>0</v>
      </c>
      <c r="N452" s="15" t="n">
        <v>7.9248</v>
      </c>
      <c r="O452" s="17" t="str">
        <f aca="false">UPPER(LEFT(F452,3))&amp;"-"&amp;G452</f>
        <v>NEW-13021</v>
      </c>
      <c r="P452" s="17" t="str">
        <f aca="false">PROPER(TRIM(E452))</f>
        <v>Auburn</v>
      </c>
      <c r="Q452" s="17" t="str">
        <f aca="false">IFERROR(VLOOKUP(F452,Lookups!$A$2:$B$50,2,FALSE()),"Not found")</f>
        <v>East</v>
      </c>
      <c r="R452" s="17" t="str">
        <f aca="false">IF(Q452=H452,"Match","Mismatch")</f>
        <v>Match</v>
      </c>
      <c r="S452" s="17" t="str">
        <f aca="false">IFERROR(INDEX(SubCatCat,MATCH(J452,SubCatName,0)),"Not found")</f>
        <v>Office Supplies</v>
      </c>
      <c r="T452" s="18" t="n">
        <f aca="false">IF(K452=0,0,N452/K452)</f>
        <v>0.26</v>
      </c>
      <c r="U452" s="17" t="str">
        <f aca="false">IF(N452&lt;0,"Loss",IF(T452&gt;=0.2,"High margin","Normal"))</f>
        <v>High margin</v>
      </c>
      <c r="V452" s="17" t="str">
        <f aca="false">IF(M452=0,"No discount",IF(M452&lt;=0.2,"Low",IF(M452&lt;=0.4,"Medium","High")))</f>
        <v>No discount</v>
      </c>
      <c r="W452" s="17" t="str">
        <f aca="false">IF(OR(B452="Same Day",B452="First Class"),"Fast","Standard")</f>
        <v>Standard</v>
      </c>
      <c r="X452" s="19" t="n">
        <f aca="false">ROUND(K452/L452,2)</f>
        <v>10.16</v>
      </c>
    </row>
    <row r="453" customFormat="false" ht="15" hidden="false" customHeight="false" outlineLevel="0" collapsed="false">
      <c r="A453" s="14" t="n">
        <v>452</v>
      </c>
      <c r="B453" s="14" t="s">
        <v>127</v>
      </c>
      <c r="C453" s="14" t="s">
        <v>7</v>
      </c>
      <c r="D453" s="14" t="s">
        <v>128</v>
      </c>
      <c r="E453" s="14" t="s">
        <v>299</v>
      </c>
      <c r="F453" s="14" t="s">
        <v>185</v>
      </c>
      <c r="G453" s="14" t="n">
        <v>13021</v>
      </c>
      <c r="H453" s="14" t="s">
        <v>166</v>
      </c>
      <c r="I453" s="14" t="s">
        <v>137</v>
      </c>
      <c r="J453" s="14" t="s">
        <v>145</v>
      </c>
      <c r="K453" s="15" t="n">
        <v>9.84</v>
      </c>
      <c r="L453" s="14" t="n">
        <v>3</v>
      </c>
      <c r="M453" s="16" t="n">
        <v>0</v>
      </c>
      <c r="N453" s="15" t="n">
        <v>2.8536</v>
      </c>
      <c r="O453" s="17" t="str">
        <f aca="false">UPPER(LEFT(F453,3))&amp;"-"&amp;G453</f>
        <v>NEW-13021</v>
      </c>
      <c r="P453" s="17" t="str">
        <f aca="false">PROPER(TRIM(E453))</f>
        <v>Auburn</v>
      </c>
      <c r="Q453" s="17" t="str">
        <f aca="false">IFERROR(VLOOKUP(F453,Lookups!$A$2:$B$50,2,FALSE()),"Not found")</f>
        <v>East</v>
      </c>
      <c r="R453" s="17" t="str">
        <f aca="false">IF(Q453=H453,"Match","Mismatch")</f>
        <v>Match</v>
      </c>
      <c r="S453" s="17" t="str">
        <f aca="false">IFERROR(INDEX(SubCatCat,MATCH(J453,SubCatName,0)),"Not found")</f>
        <v>Office Supplies</v>
      </c>
      <c r="T453" s="18" t="n">
        <f aca="false">IF(K453=0,0,N453/K453)</f>
        <v>0.29</v>
      </c>
      <c r="U453" s="17" t="str">
        <f aca="false">IF(N453&lt;0,"Loss",IF(T453&gt;=0.2,"High margin","Normal"))</f>
        <v>High margin</v>
      </c>
      <c r="V453" s="17" t="str">
        <f aca="false">IF(M453=0,"No discount",IF(M453&lt;=0.2,"Low",IF(M453&lt;=0.4,"Medium","High")))</f>
        <v>No discount</v>
      </c>
      <c r="W453" s="17" t="str">
        <f aca="false">IF(OR(B453="Same Day",B453="First Class"),"Fast","Standard")</f>
        <v>Standard</v>
      </c>
      <c r="X453" s="19" t="n">
        <f aca="false">ROUND(K453/L453,2)</f>
        <v>3.28</v>
      </c>
    </row>
    <row r="454" customFormat="false" ht="15" hidden="false" customHeight="false" outlineLevel="0" collapsed="false">
      <c r="A454" s="14" t="n">
        <v>453</v>
      </c>
      <c r="B454" s="14" t="s">
        <v>127</v>
      </c>
      <c r="C454" s="14" t="s">
        <v>7</v>
      </c>
      <c r="D454" s="14" t="s">
        <v>128</v>
      </c>
      <c r="E454" s="14" t="s">
        <v>299</v>
      </c>
      <c r="F454" s="14" t="s">
        <v>185</v>
      </c>
      <c r="G454" s="14" t="n">
        <v>13021</v>
      </c>
      <c r="H454" s="14" t="s">
        <v>166</v>
      </c>
      <c r="I454" s="14" t="s">
        <v>5</v>
      </c>
      <c r="J454" s="14" t="s">
        <v>11</v>
      </c>
      <c r="K454" s="15" t="n">
        <v>35.12</v>
      </c>
      <c r="L454" s="14" t="n">
        <v>4</v>
      </c>
      <c r="M454" s="16" t="n">
        <v>0</v>
      </c>
      <c r="N454" s="15" t="n">
        <v>9.1312</v>
      </c>
      <c r="O454" s="17" t="str">
        <f aca="false">UPPER(LEFT(F454,3))&amp;"-"&amp;G454</f>
        <v>NEW-13021</v>
      </c>
      <c r="P454" s="17" t="str">
        <f aca="false">PROPER(TRIM(E454))</f>
        <v>Auburn</v>
      </c>
      <c r="Q454" s="17" t="str">
        <f aca="false">IFERROR(VLOOKUP(F454,Lookups!$A$2:$B$50,2,FALSE()),"Not found")</f>
        <v>East</v>
      </c>
      <c r="R454" s="17" t="str">
        <f aca="false">IF(Q454=H454,"Match","Mismatch")</f>
        <v>Match</v>
      </c>
      <c r="S454" s="17" t="str">
        <f aca="false">IFERROR(INDEX(SubCatCat,MATCH(J454,SubCatName,0)),"Not found")</f>
        <v>Technology</v>
      </c>
      <c r="T454" s="18" t="n">
        <f aca="false">IF(K454=0,0,N454/K454)</f>
        <v>0.26</v>
      </c>
      <c r="U454" s="17" t="str">
        <f aca="false">IF(N454&lt;0,"Loss",IF(T454&gt;=0.2,"High margin","Normal"))</f>
        <v>High margin</v>
      </c>
      <c r="V454" s="17" t="str">
        <f aca="false">IF(M454=0,"No discount",IF(M454&lt;=0.2,"Low",IF(M454&lt;=0.4,"Medium","High")))</f>
        <v>No discount</v>
      </c>
      <c r="W454" s="17" t="str">
        <f aca="false">IF(OR(B454="Same Day",B454="First Class"),"Fast","Standard")</f>
        <v>Standard</v>
      </c>
      <c r="X454" s="19" t="n">
        <f aca="false">ROUND(K454/L454,2)</f>
        <v>8.78</v>
      </c>
    </row>
    <row r="455" customFormat="false" ht="15" hidden="false" customHeight="false" outlineLevel="0" collapsed="false">
      <c r="A455" s="14" t="n">
        <v>454</v>
      </c>
      <c r="B455" s="14" t="s">
        <v>139</v>
      </c>
      <c r="C455" s="14" t="s">
        <v>135</v>
      </c>
      <c r="D455" s="14" t="s">
        <v>128</v>
      </c>
      <c r="E455" s="14" t="s">
        <v>242</v>
      </c>
      <c r="F455" s="14" t="s">
        <v>213</v>
      </c>
      <c r="G455" s="14" t="n">
        <v>44312</v>
      </c>
      <c r="H455" s="14" t="s">
        <v>166</v>
      </c>
      <c r="I455" s="14" t="s">
        <v>132</v>
      </c>
      <c r="J455" s="14" t="s">
        <v>142</v>
      </c>
      <c r="K455" s="15" t="n">
        <v>284.364</v>
      </c>
      <c r="L455" s="14" t="n">
        <v>2</v>
      </c>
      <c r="M455" s="16" t="n">
        <v>0.4</v>
      </c>
      <c r="N455" s="15" t="n">
        <v>-75.8304</v>
      </c>
      <c r="O455" s="17" t="str">
        <f aca="false">UPPER(LEFT(F455,3))&amp;"-"&amp;G455</f>
        <v>OHI-44312</v>
      </c>
      <c r="P455" s="17" t="str">
        <f aca="false">PROPER(TRIM(E455))</f>
        <v>Akron</v>
      </c>
      <c r="Q455" s="17" t="str">
        <f aca="false">IFERROR(VLOOKUP(F455,Lookups!$A$2:$B$50,2,FALSE()),"Not found")</f>
        <v>East</v>
      </c>
      <c r="R455" s="17" t="str">
        <f aca="false">IF(Q455=H455,"Match","Mismatch")</f>
        <v>Match</v>
      </c>
      <c r="S455" s="17" t="str">
        <f aca="false">IFERROR(INDEX(SubCatCat,MATCH(J455,SubCatName,0)),"Not found")</f>
        <v>Furniture</v>
      </c>
      <c r="T455" s="18" t="n">
        <f aca="false">IF(K455=0,0,N455/K455)</f>
        <v>-0.266666666666667</v>
      </c>
      <c r="U455" s="17" t="str">
        <f aca="false">IF(N455&lt;0,"Loss",IF(T455&gt;=0.2,"High margin","Normal"))</f>
        <v>Loss</v>
      </c>
      <c r="V455" s="17" t="str">
        <f aca="false">IF(M455=0,"No discount",IF(M455&lt;=0.2,"Low",IF(M455&lt;=0.4,"Medium","High")))</f>
        <v>Medium</v>
      </c>
      <c r="W455" s="17" t="str">
        <f aca="false">IF(OR(B455="Same Day",B455="First Class"),"Fast","Standard")</f>
        <v>Standard</v>
      </c>
      <c r="X455" s="19" t="n">
        <f aca="false">ROUND(K455/L455,2)</f>
        <v>142.18</v>
      </c>
    </row>
    <row r="456" customFormat="false" ht="15" hidden="false" customHeight="false" outlineLevel="0" collapsed="false">
      <c r="A456" s="14" t="n">
        <v>455</v>
      </c>
      <c r="B456" s="14" t="s">
        <v>139</v>
      </c>
      <c r="C456" s="14" t="s">
        <v>135</v>
      </c>
      <c r="D456" s="14" t="s">
        <v>128</v>
      </c>
      <c r="E456" s="14" t="s">
        <v>242</v>
      </c>
      <c r="F456" s="14" t="s">
        <v>213</v>
      </c>
      <c r="G456" s="14" t="n">
        <v>44312</v>
      </c>
      <c r="H456" s="14" t="s">
        <v>166</v>
      </c>
      <c r="I456" s="14" t="s">
        <v>137</v>
      </c>
      <c r="J456" s="14" t="s">
        <v>143</v>
      </c>
      <c r="K456" s="15" t="n">
        <v>665.408</v>
      </c>
      <c r="L456" s="14" t="n">
        <v>2</v>
      </c>
      <c r="M456" s="16" t="n">
        <v>0.2</v>
      </c>
      <c r="N456" s="15" t="n">
        <v>66.5408</v>
      </c>
      <c r="O456" s="17" t="str">
        <f aca="false">UPPER(LEFT(F456,3))&amp;"-"&amp;G456</f>
        <v>OHI-44312</v>
      </c>
      <c r="P456" s="17" t="str">
        <f aca="false">PROPER(TRIM(E456))</f>
        <v>Akron</v>
      </c>
      <c r="Q456" s="17" t="str">
        <f aca="false">IFERROR(VLOOKUP(F456,Lookups!$A$2:$B$50,2,FALSE()),"Not found")</f>
        <v>East</v>
      </c>
      <c r="R456" s="17" t="str">
        <f aca="false">IF(Q456=H456,"Match","Mismatch")</f>
        <v>Match</v>
      </c>
      <c r="S456" s="17" t="str">
        <f aca="false">IFERROR(INDEX(SubCatCat,MATCH(J456,SubCatName,0)),"Not found")</f>
        <v>Office Supplies</v>
      </c>
      <c r="T456" s="18" t="n">
        <f aca="false">IF(K456=0,0,N456/K456)</f>
        <v>0.1</v>
      </c>
      <c r="U456" s="17" t="str">
        <f aca="false">IF(N456&lt;0,"Loss",IF(T456&gt;=0.2,"High margin","Normal"))</f>
        <v>Normal</v>
      </c>
      <c r="V456" s="17" t="str">
        <f aca="false">IF(M456=0,"No discount",IF(M456&lt;=0.2,"Low",IF(M456&lt;=0.4,"Medium","High")))</f>
        <v>Low</v>
      </c>
      <c r="W456" s="17" t="str">
        <f aca="false">IF(OR(B456="Same Day",B456="First Class"),"Fast","Standard")</f>
        <v>Standard</v>
      </c>
      <c r="X456" s="19" t="n">
        <f aca="false">ROUND(K456/L456,2)</f>
        <v>332.7</v>
      </c>
    </row>
    <row r="457" customFormat="false" ht="15" hidden="false" customHeight="false" outlineLevel="0" collapsed="false">
      <c r="A457" s="14" t="n">
        <v>456</v>
      </c>
      <c r="B457" s="14" t="s">
        <v>139</v>
      </c>
      <c r="C457" s="14" t="s">
        <v>135</v>
      </c>
      <c r="D457" s="14" t="s">
        <v>128</v>
      </c>
      <c r="E457" s="14" t="s">
        <v>300</v>
      </c>
      <c r="F457" s="14" t="s">
        <v>228</v>
      </c>
      <c r="G457" s="14" t="n">
        <v>73071</v>
      </c>
      <c r="H457" s="14" t="s">
        <v>156</v>
      </c>
      <c r="I457" s="14" t="s">
        <v>5</v>
      </c>
      <c r="J457" s="14" t="s">
        <v>168</v>
      </c>
      <c r="K457" s="15" t="n">
        <v>63.88</v>
      </c>
      <c r="L457" s="14" t="n">
        <v>4</v>
      </c>
      <c r="M457" s="16" t="n">
        <v>0</v>
      </c>
      <c r="N457" s="15" t="n">
        <v>24.9132</v>
      </c>
      <c r="O457" s="17" t="str">
        <f aca="false">UPPER(LEFT(F457,3))&amp;"-"&amp;G457</f>
        <v>OKL-73071</v>
      </c>
      <c r="P457" s="17" t="str">
        <f aca="false">PROPER(TRIM(E457))</f>
        <v>Norman</v>
      </c>
      <c r="Q457" s="17" t="str">
        <f aca="false">IFERROR(VLOOKUP(F457,Lookups!$A$2:$B$50,2,FALSE()),"Not found")</f>
        <v>Central</v>
      </c>
      <c r="R457" s="17" t="str">
        <f aca="false">IF(Q457=H457,"Match","Mismatch")</f>
        <v>Match</v>
      </c>
      <c r="S457" s="17" t="str">
        <f aca="false">IFERROR(INDEX(SubCatCat,MATCH(J457,SubCatName,0)),"Not found")</f>
        <v>Technology</v>
      </c>
      <c r="T457" s="18" t="n">
        <f aca="false">IF(K457=0,0,N457/K457)</f>
        <v>0.39</v>
      </c>
      <c r="U457" s="17" t="str">
        <f aca="false">IF(N457&lt;0,"Loss",IF(T457&gt;=0.2,"High margin","Normal"))</f>
        <v>High margin</v>
      </c>
      <c r="V457" s="17" t="str">
        <f aca="false">IF(M457=0,"No discount",IF(M457&lt;=0.2,"Low",IF(M457&lt;=0.4,"Medium","High")))</f>
        <v>No discount</v>
      </c>
      <c r="W457" s="17" t="str">
        <f aca="false">IF(OR(B457="Same Day",B457="First Class"),"Fast","Standard")</f>
        <v>Standard</v>
      </c>
      <c r="X457" s="19" t="n">
        <f aca="false">ROUND(K457/L457,2)</f>
        <v>15.97</v>
      </c>
    </row>
    <row r="458" customFormat="false" ht="15" hidden="false" customHeight="false" outlineLevel="0" collapsed="false">
      <c r="A458" s="14" t="n">
        <v>457</v>
      </c>
      <c r="B458" s="14" t="s">
        <v>139</v>
      </c>
      <c r="C458" s="14" t="s">
        <v>7</v>
      </c>
      <c r="D458" s="14" t="s">
        <v>128</v>
      </c>
      <c r="E458" s="14" t="s">
        <v>148</v>
      </c>
      <c r="F458" s="14" t="s">
        <v>9</v>
      </c>
      <c r="G458" s="14" t="n">
        <v>94521</v>
      </c>
      <c r="H458" s="14" t="s">
        <v>3</v>
      </c>
      <c r="I458" s="14" t="s">
        <v>132</v>
      </c>
      <c r="J458" s="14" t="s">
        <v>134</v>
      </c>
      <c r="K458" s="15" t="n">
        <v>129.568</v>
      </c>
      <c r="L458" s="14" t="n">
        <v>2</v>
      </c>
      <c r="M458" s="16" t="n">
        <v>0.2</v>
      </c>
      <c r="N458" s="15" t="n">
        <v>-24.294</v>
      </c>
      <c r="O458" s="17" t="str">
        <f aca="false">UPPER(LEFT(F458,3))&amp;"-"&amp;G458</f>
        <v>CAL-94521</v>
      </c>
      <c r="P458" s="17" t="str">
        <f aca="false">PROPER(TRIM(E458))</f>
        <v>Concord</v>
      </c>
      <c r="Q458" s="17" t="str">
        <f aca="false">IFERROR(VLOOKUP(F458,Lookups!$A$2:$B$50,2,FALSE()),"Not found")</f>
        <v>West</v>
      </c>
      <c r="R458" s="17" t="str">
        <f aca="false">IF(Q458=H458,"Match","Mismatch")</f>
        <v>Match</v>
      </c>
      <c r="S458" s="17" t="str">
        <f aca="false">IFERROR(INDEX(SubCatCat,MATCH(J458,SubCatName,0)),"Not found")</f>
        <v>Furniture</v>
      </c>
      <c r="T458" s="18" t="n">
        <f aca="false">IF(K458=0,0,N458/K458)</f>
        <v>-0.1875</v>
      </c>
      <c r="U458" s="17" t="str">
        <f aca="false">IF(N458&lt;0,"Loss",IF(T458&gt;=0.2,"High margin","Normal"))</f>
        <v>Loss</v>
      </c>
      <c r="V458" s="17" t="str">
        <f aca="false">IF(M458=0,"No discount",IF(M458&lt;=0.2,"Low",IF(M458&lt;=0.4,"Medium","High")))</f>
        <v>Low</v>
      </c>
      <c r="W458" s="17" t="str">
        <f aca="false">IF(OR(B458="Same Day",B458="First Class"),"Fast","Standard")</f>
        <v>Standard</v>
      </c>
      <c r="X458" s="19" t="n">
        <f aca="false">ROUND(K458/L458,2)</f>
        <v>64.78</v>
      </c>
    </row>
    <row r="459" customFormat="false" ht="15" hidden="false" customHeight="false" outlineLevel="0" collapsed="false">
      <c r="A459" s="14" t="n">
        <v>458</v>
      </c>
      <c r="B459" s="14" t="s">
        <v>139</v>
      </c>
      <c r="C459" s="14" t="s">
        <v>7</v>
      </c>
      <c r="D459" s="14" t="s">
        <v>128</v>
      </c>
      <c r="E459" s="14" t="s">
        <v>196</v>
      </c>
      <c r="F459" s="14" t="s">
        <v>174</v>
      </c>
      <c r="G459" s="14" t="n">
        <v>62521</v>
      </c>
      <c r="H459" s="14" t="s">
        <v>156</v>
      </c>
      <c r="I459" s="14" t="s">
        <v>132</v>
      </c>
      <c r="J459" s="14" t="s">
        <v>134</v>
      </c>
      <c r="K459" s="15" t="n">
        <v>747.558</v>
      </c>
      <c r="L459" s="14" t="n">
        <v>3</v>
      </c>
      <c r="M459" s="16" t="n">
        <v>0.3</v>
      </c>
      <c r="N459" s="15" t="n">
        <v>-96.1146</v>
      </c>
      <c r="O459" s="17" t="str">
        <f aca="false">UPPER(LEFT(F459,3))&amp;"-"&amp;G459</f>
        <v>ILL-62521</v>
      </c>
      <c r="P459" s="17" t="str">
        <f aca="false">PROPER(TRIM(E459))</f>
        <v>Decatur</v>
      </c>
      <c r="Q459" s="17" t="str">
        <f aca="false">IFERROR(VLOOKUP(F459,Lookups!$A$2:$B$50,2,FALSE()),"Not found")</f>
        <v>Central</v>
      </c>
      <c r="R459" s="17" t="str">
        <f aca="false">IF(Q459=H459,"Match","Mismatch")</f>
        <v>Match</v>
      </c>
      <c r="S459" s="17" t="str">
        <f aca="false">IFERROR(INDEX(SubCatCat,MATCH(J459,SubCatName,0)),"Not found")</f>
        <v>Furniture</v>
      </c>
      <c r="T459" s="18" t="n">
        <f aca="false">IF(K459=0,0,N459/K459)</f>
        <v>-0.128571428571429</v>
      </c>
      <c r="U459" s="17" t="str">
        <f aca="false">IF(N459&lt;0,"Loss",IF(T459&gt;=0.2,"High margin","Normal"))</f>
        <v>Loss</v>
      </c>
      <c r="V459" s="17" t="str">
        <f aca="false">IF(M459=0,"No discount",IF(M459&lt;=0.2,"Low",IF(M459&lt;=0.4,"Medium","High")))</f>
        <v>Medium</v>
      </c>
      <c r="W459" s="17" t="str">
        <f aca="false">IF(OR(B459="Same Day",B459="First Class"),"Fast","Standard")</f>
        <v>Standard</v>
      </c>
      <c r="X459" s="19" t="n">
        <f aca="false">ROUND(K459/L459,2)</f>
        <v>249.19</v>
      </c>
    </row>
    <row r="460" customFormat="false" ht="15" hidden="false" customHeight="false" outlineLevel="0" collapsed="false">
      <c r="A460" s="14" t="n">
        <v>459</v>
      </c>
      <c r="B460" s="14" t="s">
        <v>139</v>
      </c>
      <c r="C460" s="14" t="s">
        <v>7</v>
      </c>
      <c r="D460" s="14" t="s">
        <v>128</v>
      </c>
      <c r="E460" s="14" t="s">
        <v>196</v>
      </c>
      <c r="F460" s="14" t="s">
        <v>174</v>
      </c>
      <c r="G460" s="14" t="n">
        <v>62521</v>
      </c>
      <c r="H460" s="14" t="s">
        <v>156</v>
      </c>
      <c r="I460" s="14" t="s">
        <v>137</v>
      </c>
      <c r="J460" s="14" t="s">
        <v>169</v>
      </c>
      <c r="K460" s="15" t="n">
        <v>8.928</v>
      </c>
      <c r="L460" s="14" t="n">
        <v>2</v>
      </c>
      <c r="M460" s="16" t="n">
        <v>0.2</v>
      </c>
      <c r="N460" s="15" t="n">
        <v>3.348</v>
      </c>
      <c r="O460" s="17" t="str">
        <f aca="false">UPPER(LEFT(F460,3))&amp;"-"&amp;G460</f>
        <v>ILL-62521</v>
      </c>
      <c r="P460" s="17" t="str">
        <f aca="false">PROPER(TRIM(E460))</f>
        <v>Decatur</v>
      </c>
      <c r="Q460" s="17" t="str">
        <f aca="false">IFERROR(VLOOKUP(F460,Lookups!$A$2:$B$50,2,FALSE()),"Not found")</f>
        <v>Central</v>
      </c>
      <c r="R460" s="17" t="str">
        <f aca="false">IF(Q460=H460,"Match","Mismatch")</f>
        <v>Match</v>
      </c>
      <c r="S460" s="17" t="str">
        <f aca="false">IFERROR(INDEX(SubCatCat,MATCH(J460,SubCatName,0)),"Not found")</f>
        <v>Office Supplies</v>
      </c>
      <c r="T460" s="18" t="n">
        <f aca="false">IF(K460=0,0,N460/K460)</f>
        <v>0.375</v>
      </c>
      <c r="U460" s="17" t="str">
        <f aca="false">IF(N460&lt;0,"Loss",IF(T460&gt;=0.2,"High margin","Normal"))</f>
        <v>High margin</v>
      </c>
      <c r="V460" s="17" t="str">
        <f aca="false">IF(M460=0,"No discount",IF(M460&lt;=0.2,"Low",IF(M460&lt;=0.4,"Medium","High")))</f>
        <v>Low</v>
      </c>
      <c r="W460" s="17" t="str">
        <f aca="false">IF(OR(B460="Same Day",B460="First Class"),"Fast","Standard")</f>
        <v>Standard</v>
      </c>
      <c r="X460" s="19" t="n">
        <f aca="false">ROUND(K460/L460,2)</f>
        <v>4.46</v>
      </c>
    </row>
    <row r="461" customFormat="false" ht="15" hidden="false" customHeight="false" outlineLevel="0" collapsed="false">
      <c r="A461" s="14" t="n">
        <v>460</v>
      </c>
      <c r="B461" s="14" t="s">
        <v>139</v>
      </c>
      <c r="C461" s="14" t="s">
        <v>7</v>
      </c>
      <c r="D461" s="14" t="s">
        <v>128</v>
      </c>
      <c r="E461" s="14" t="s">
        <v>151</v>
      </c>
      <c r="F461" s="14" t="s">
        <v>152</v>
      </c>
      <c r="G461" s="14" t="n">
        <v>98115</v>
      </c>
      <c r="H461" s="14" t="s">
        <v>3</v>
      </c>
      <c r="I461" s="14" t="s">
        <v>137</v>
      </c>
      <c r="J461" s="14" t="s">
        <v>147</v>
      </c>
      <c r="K461" s="15" t="n">
        <v>103.92</v>
      </c>
      <c r="L461" s="14" t="n">
        <v>4</v>
      </c>
      <c r="M461" s="16" t="n">
        <v>0</v>
      </c>
      <c r="N461" s="15" t="n">
        <v>36.372</v>
      </c>
      <c r="O461" s="17" t="str">
        <f aca="false">UPPER(LEFT(F461,3))&amp;"-"&amp;G461</f>
        <v>WAS-98115</v>
      </c>
      <c r="P461" s="17" t="str">
        <f aca="false">PROPER(TRIM(E461))</f>
        <v>Seattle</v>
      </c>
      <c r="Q461" s="17" t="str">
        <f aca="false">IFERROR(VLOOKUP(F461,Lookups!$A$2:$B$50,2,FALSE()),"Not found")</f>
        <v>West</v>
      </c>
      <c r="R461" s="17" t="str">
        <f aca="false">IF(Q461=H461,"Match","Mismatch")</f>
        <v>Match</v>
      </c>
      <c r="S461" s="17" t="str">
        <f aca="false">IFERROR(INDEX(SubCatCat,MATCH(J461,SubCatName,0)),"Not found")</f>
        <v>Office Supplies</v>
      </c>
      <c r="T461" s="18" t="n">
        <f aca="false">IF(K461=0,0,N461/K461)</f>
        <v>0.35</v>
      </c>
      <c r="U461" s="17" t="str">
        <f aca="false">IF(N461&lt;0,"Loss",IF(T461&gt;=0.2,"High margin","Normal"))</f>
        <v>High margin</v>
      </c>
      <c r="V461" s="17" t="str">
        <f aca="false">IF(M461=0,"No discount",IF(M461&lt;=0.2,"Low",IF(M461&lt;=0.4,"Medium","High")))</f>
        <v>No discount</v>
      </c>
      <c r="W461" s="17" t="str">
        <f aca="false">IF(OR(B461="Same Day",B461="First Class"),"Fast","Standard")</f>
        <v>Standard</v>
      </c>
      <c r="X461" s="19" t="n">
        <f aca="false">ROUND(K461/L461,2)</f>
        <v>25.98</v>
      </c>
    </row>
    <row r="462" customFormat="false" ht="15" hidden="false" customHeight="false" outlineLevel="0" collapsed="false">
      <c r="A462" s="14" t="n">
        <v>461</v>
      </c>
      <c r="B462" s="14" t="s">
        <v>139</v>
      </c>
      <c r="C462" s="14" t="s">
        <v>7</v>
      </c>
      <c r="D462" s="14" t="s">
        <v>128</v>
      </c>
      <c r="E462" s="14" t="s">
        <v>151</v>
      </c>
      <c r="F462" s="14" t="s">
        <v>152</v>
      </c>
      <c r="G462" s="14" t="n">
        <v>98115</v>
      </c>
      <c r="H462" s="14" t="s">
        <v>3</v>
      </c>
      <c r="I462" s="14" t="s">
        <v>5</v>
      </c>
      <c r="J462" s="14" t="s">
        <v>168</v>
      </c>
      <c r="K462" s="15" t="n">
        <v>899.91</v>
      </c>
      <c r="L462" s="14" t="n">
        <v>9</v>
      </c>
      <c r="M462" s="16" t="n">
        <v>0</v>
      </c>
      <c r="N462" s="15" t="n">
        <v>377.9622</v>
      </c>
      <c r="O462" s="17" t="str">
        <f aca="false">UPPER(LEFT(F462,3))&amp;"-"&amp;G462</f>
        <v>WAS-98115</v>
      </c>
      <c r="P462" s="17" t="str">
        <f aca="false">PROPER(TRIM(E462))</f>
        <v>Seattle</v>
      </c>
      <c r="Q462" s="17" t="str">
        <f aca="false">IFERROR(VLOOKUP(F462,Lookups!$A$2:$B$50,2,FALSE()),"Not found")</f>
        <v>West</v>
      </c>
      <c r="R462" s="17" t="str">
        <f aca="false">IF(Q462=H462,"Match","Mismatch")</f>
        <v>Match</v>
      </c>
      <c r="S462" s="17" t="str">
        <f aca="false">IFERROR(INDEX(SubCatCat,MATCH(J462,SubCatName,0)),"Not found")</f>
        <v>Technology</v>
      </c>
      <c r="T462" s="18" t="n">
        <f aca="false">IF(K462=0,0,N462/K462)</f>
        <v>0.42</v>
      </c>
      <c r="U462" s="17" t="str">
        <f aca="false">IF(N462&lt;0,"Loss",IF(T462&gt;=0.2,"High margin","Normal"))</f>
        <v>High margin</v>
      </c>
      <c r="V462" s="17" t="str">
        <f aca="false">IF(M462=0,"No discount",IF(M462&lt;=0.2,"Low",IF(M462&lt;=0.4,"Medium","High")))</f>
        <v>No discount</v>
      </c>
      <c r="W462" s="17" t="str">
        <f aca="false">IF(OR(B462="Same Day",B462="First Class"),"Fast","Standard")</f>
        <v>Standard</v>
      </c>
      <c r="X462" s="19" t="n">
        <f aca="false">ROUND(K462/L462,2)</f>
        <v>99.99</v>
      </c>
    </row>
    <row r="463" customFormat="false" ht="15" hidden="false" customHeight="false" outlineLevel="0" collapsed="false">
      <c r="A463" s="14" t="n">
        <v>462</v>
      </c>
      <c r="B463" s="14" t="s">
        <v>139</v>
      </c>
      <c r="C463" s="14" t="s">
        <v>7</v>
      </c>
      <c r="D463" s="14" t="s">
        <v>128</v>
      </c>
      <c r="E463" s="14" t="s">
        <v>151</v>
      </c>
      <c r="F463" s="14" t="s">
        <v>152</v>
      </c>
      <c r="G463" s="14" t="n">
        <v>98115</v>
      </c>
      <c r="H463" s="14" t="s">
        <v>3</v>
      </c>
      <c r="I463" s="14" t="s">
        <v>137</v>
      </c>
      <c r="J463" s="14" t="s">
        <v>146</v>
      </c>
      <c r="K463" s="15" t="n">
        <v>51.312</v>
      </c>
      <c r="L463" s="14" t="n">
        <v>3</v>
      </c>
      <c r="M463" s="16" t="n">
        <v>0.2</v>
      </c>
      <c r="N463" s="15" t="n">
        <v>18.6006</v>
      </c>
      <c r="O463" s="17" t="str">
        <f aca="false">UPPER(LEFT(F463,3))&amp;"-"&amp;G463</f>
        <v>WAS-98115</v>
      </c>
      <c r="P463" s="17" t="str">
        <f aca="false">PROPER(TRIM(E463))</f>
        <v>Seattle</v>
      </c>
      <c r="Q463" s="17" t="str">
        <f aca="false">IFERROR(VLOOKUP(F463,Lookups!$A$2:$B$50,2,FALSE()),"Not found")</f>
        <v>West</v>
      </c>
      <c r="R463" s="17" t="str">
        <f aca="false">IF(Q463=H463,"Match","Mismatch")</f>
        <v>Match</v>
      </c>
      <c r="S463" s="17" t="str">
        <f aca="false">IFERROR(INDEX(SubCatCat,MATCH(J463,SubCatName,0)),"Not found")</f>
        <v>Office Supplies</v>
      </c>
      <c r="T463" s="18" t="n">
        <f aca="false">IF(K463=0,0,N463/K463)</f>
        <v>0.3625</v>
      </c>
      <c r="U463" s="17" t="str">
        <f aca="false">IF(N463&lt;0,"Loss",IF(T463&gt;=0.2,"High margin","Normal"))</f>
        <v>High margin</v>
      </c>
      <c r="V463" s="17" t="str">
        <f aca="false">IF(M463=0,"No discount",IF(M463&lt;=0.2,"Low",IF(M463&lt;=0.4,"Medium","High")))</f>
        <v>Low</v>
      </c>
      <c r="W463" s="17" t="str">
        <f aca="false">IF(OR(B463="Same Day",B463="First Class"),"Fast","Standard")</f>
        <v>Standard</v>
      </c>
      <c r="X463" s="19" t="n">
        <f aca="false">ROUND(K463/L463,2)</f>
        <v>17.1</v>
      </c>
    </row>
    <row r="464" customFormat="false" ht="15" hidden="false" customHeight="false" outlineLevel="0" collapsed="false">
      <c r="A464" s="14" t="n">
        <v>463</v>
      </c>
      <c r="B464" s="14" t="s">
        <v>139</v>
      </c>
      <c r="C464" s="14" t="s">
        <v>153</v>
      </c>
      <c r="D464" s="14" t="s">
        <v>128</v>
      </c>
      <c r="E464" s="14" t="s">
        <v>217</v>
      </c>
      <c r="F464" s="14" t="s">
        <v>190</v>
      </c>
      <c r="G464" s="14" t="n">
        <v>85023</v>
      </c>
      <c r="H464" s="14" t="s">
        <v>3</v>
      </c>
      <c r="I464" s="14" t="s">
        <v>132</v>
      </c>
      <c r="J464" s="14" t="s">
        <v>144</v>
      </c>
      <c r="K464" s="15" t="n">
        <v>23.56</v>
      </c>
      <c r="L464" s="14" t="n">
        <v>5</v>
      </c>
      <c r="M464" s="16" t="n">
        <v>0.2</v>
      </c>
      <c r="N464" s="15" t="n">
        <v>7.068</v>
      </c>
      <c r="O464" s="17" t="str">
        <f aca="false">UPPER(LEFT(F464,3))&amp;"-"&amp;G464</f>
        <v>ARI-85023</v>
      </c>
      <c r="P464" s="17" t="str">
        <f aca="false">PROPER(TRIM(E464))</f>
        <v>Phoenix</v>
      </c>
      <c r="Q464" s="17" t="str">
        <f aca="false">IFERROR(VLOOKUP(F464,Lookups!$A$2:$B$50,2,FALSE()),"Not found")</f>
        <v>West</v>
      </c>
      <c r="R464" s="17" t="str">
        <f aca="false">IF(Q464=H464,"Match","Mismatch")</f>
        <v>Match</v>
      </c>
      <c r="S464" s="17" t="str">
        <f aca="false">IFERROR(INDEX(SubCatCat,MATCH(J464,SubCatName,0)),"Not found")</f>
        <v>Furniture</v>
      </c>
      <c r="T464" s="18" t="n">
        <f aca="false">IF(K464=0,0,N464/K464)</f>
        <v>0.3</v>
      </c>
      <c r="U464" s="17" t="str">
        <f aca="false">IF(N464&lt;0,"Loss",IF(T464&gt;=0.2,"High margin","Normal"))</f>
        <v>High margin</v>
      </c>
      <c r="V464" s="17" t="str">
        <f aca="false">IF(M464=0,"No discount",IF(M464&lt;=0.2,"Low",IF(M464&lt;=0.4,"Medium","High")))</f>
        <v>Low</v>
      </c>
      <c r="W464" s="17" t="str">
        <f aca="false">IF(OR(B464="Same Day",B464="First Class"),"Fast","Standard")</f>
        <v>Standard</v>
      </c>
      <c r="X464" s="19" t="n">
        <f aca="false">ROUND(K464/L464,2)</f>
        <v>4.71</v>
      </c>
    </row>
    <row r="465" customFormat="false" ht="15" hidden="false" customHeight="false" outlineLevel="0" collapsed="false">
      <c r="A465" s="14" t="n">
        <v>464</v>
      </c>
      <c r="B465" s="14" t="s">
        <v>139</v>
      </c>
      <c r="C465" s="14" t="s">
        <v>153</v>
      </c>
      <c r="D465" s="14" t="s">
        <v>128</v>
      </c>
      <c r="E465" s="14" t="s">
        <v>217</v>
      </c>
      <c r="F465" s="14" t="s">
        <v>190</v>
      </c>
      <c r="G465" s="14" t="n">
        <v>85023</v>
      </c>
      <c r="H465" s="14" t="s">
        <v>3</v>
      </c>
      <c r="I465" s="14" t="s">
        <v>132</v>
      </c>
      <c r="J465" s="14" t="s">
        <v>142</v>
      </c>
      <c r="K465" s="15" t="n">
        <v>1272.63</v>
      </c>
      <c r="L465" s="14" t="n">
        <v>6</v>
      </c>
      <c r="M465" s="16" t="n">
        <v>0.5</v>
      </c>
      <c r="N465" s="15" t="n">
        <v>-814.4832</v>
      </c>
      <c r="O465" s="17" t="str">
        <f aca="false">UPPER(LEFT(F465,3))&amp;"-"&amp;G465</f>
        <v>ARI-85023</v>
      </c>
      <c r="P465" s="17" t="str">
        <f aca="false">PROPER(TRIM(E465))</f>
        <v>Phoenix</v>
      </c>
      <c r="Q465" s="17" t="str">
        <f aca="false">IFERROR(VLOOKUP(F465,Lookups!$A$2:$B$50,2,FALSE()),"Not found")</f>
        <v>West</v>
      </c>
      <c r="R465" s="17" t="str">
        <f aca="false">IF(Q465=H465,"Match","Mismatch")</f>
        <v>Match</v>
      </c>
      <c r="S465" s="17" t="str">
        <f aca="false">IFERROR(INDEX(SubCatCat,MATCH(J465,SubCatName,0)),"Not found")</f>
        <v>Furniture</v>
      </c>
      <c r="T465" s="18" t="n">
        <f aca="false">IF(K465=0,0,N465/K465)</f>
        <v>-0.64</v>
      </c>
      <c r="U465" s="17" t="str">
        <f aca="false">IF(N465&lt;0,"Loss",IF(T465&gt;=0.2,"High margin","Normal"))</f>
        <v>Loss</v>
      </c>
      <c r="V465" s="17" t="str">
        <f aca="false">IF(M465=0,"No discount",IF(M465&lt;=0.2,"Low",IF(M465&lt;=0.4,"Medium","High")))</f>
        <v>High</v>
      </c>
      <c r="W465" s="17" t="str">
        <f aca="false">IF(OR(B465="Same Day",B465="First Class"),"Fast","Standard")</f>
        <v>Standard</v>
      </c>
      <c r="X465" s="19" t="n">
        <f aca="false">ROUND(K465/L465,2)</f>
        <v>212.11</v>
      </c>
    </row>
    <row r="466" customFormat="false" ht="15" hidden="false" customHeight="false" outlineLevel="0" collapsed="false">
      <c r="A466" s="14" t="n">
        <v>465</v>
      </c>
      <c r="B466" s="14" t="s">
        <v>139</v>
      </c>
      <c r="C466" s="14" t="s">
        <v>153</v>
      </c>
      <c r="D466" s="14" t="s">
        <v>128</v>
      </c>
      <c r="E466" s="14" t="s">
        <v>217</v>
      </c>
      <c r="F466" s="14" t="s">
        <v>190</v>
      </c>
      <c r="G466" s="14" t="n">
        <v>85023</v>
      </c>
      <c r="H466" s="14" t="s">
        <v>3</v>
      </c>
      <c r="I466" s="14" t="s">
        <v>137</v>
      </c>
      <c r="J466" s="14" t="s">
        <v>146</v>
      </c>
      <c r="K466" s="15" t="n">
        <v>28.485</v>
      </c>
      <c r="L466" s="14" t="n">
        <v>5</v>
      </c>
      <c r="M466" s="16" t="n">
        <v>0.7</v>
      </c>
      <c r="N466" s="15" t="n">
        <v>-20.889</v>
      </c>
      <c r="O466" s="17" t="str">
        <f aca="false">UPPER(LEFT(F466,3))&amp;"-"&amp;G466</f>
        <v>ARI-85023</v>
      </c>
      <c r="P466" s="17" t="str">
        <f aca="false">PROPER(TRIM(E466))</f>
        <v>Phoenix</v>
      </c>
      <c r="Q466" s="17" t="str">
        <f aca="false">IFERROR(VLOOKUP(F466,Lookups!$A$2:$B$50,2,FALSE()),"Not found")</f>
        <v>West</v>
      </c>
      <c r="R466" s="17" t="str">
        <f aca="false">IF(Q466=H466,"Match","Mismatch")</f>
        <v>Match</v>
      </c>
      <c r="S466" s="17" t="str">
        <f aca="false">IFERROR(INDEX(SubCatCat,MATCH(J466,SubCatName,0)),"Not found")</f>
        <v>Office Supplies</v>
      </c>
      <c r="T466" s="18" t="n">
        <f aca="false">IF(K466=0,0,N466/K466)</f>
        <v>-0.733333333333333</v>
      </c>
      <c r="U466" s="17" t="str">
        <f aca="false">IF(N466&lt;0,"Loss",IF(T466&gt;=0.2,"High margin","Normal"))</f>
        <v>Loss</v>
      </c>
      <c r="V466" s="17" t="str">
        <f aca="false">IF(M466=0,"No discount",IF(M466&lt;=0.2,"Low",IF(M466&lt;=0.4,"Medium","High")))</f>
        <v>High</v>
      </c>
      <c r="W466" s="17" t="str">
        <f aca="false">IF(OR(B466="Same Day",B466="First Class"),"Fast","Standard")</f>
        <v>Standard</v>
      </c>
      <c r="X466" s="19" t="n">
        <f aca="false">ROUND(K466/L466,2)</f>
        <v>5.7</v>
      </c>
    </row>
    <row r="467" customFormat="false" ht="15" hidden="false" customHeight="false" outlineLevel="0" collapsed="false">
      <c r="A467" s="14" t="n">
        <v>466</v>
      </c>
      <c r="B467" s="14" t="s">
        <v>139</v>
      </c>
      <c r="C467" s="14" t="s">
        <v>153</v>
      </c>
      <c r="D467" s="14" t="s">
        <v>128</v>
      </c>
      <c r="E467" s="14" t="s">
        <v>217</v>
      </c>
      <c r="F467" s="14" t="s">
        <v>190</v>
      </c>
      <c r="G467" s="14" t="n">
        <v>85023</v>
      </c>
      <c r="H467" s="14" t="s">
        <v>3</v>
      </c>
      <c r="I467" s="14" t="s">
        <v>137</v>
      </c>
      <c r="J467" s="14" t="s">
        <v>219</v>
      </c>
      <c r="K467" s="15" t="n">
        <v>185.376</v>
      </c>
      <c r="L467" s="14" t="n">
        <v>2</v>
      </c>
      <c r="M467" s="16" t="n">
        <v>0.2</v>
      </c>
      <c r="N467" s="15" t="n">
        <v>-34.758</v>
      </c>
      <c r="O467" s="17" t="str">
        <f aca="false">UPPER(LEFT(F467,3))&amp;"-"&amp;G467</f>
        <v>ARI-85023</v>
      </c>
      <c r="P467" s="17" t="str">
        <f aca="false">PROPER(TRIM(E467))</f>
        <v>Phoenix</v>
      </c>
      <c r="Q467" s="17" t="str">
        <f aca="false">IFERROR(VLOOKUP(F467,Lookups!$A$2:$B$50,2,FALSE()),"Not found")</f>
        <v>West</v>
      </c>
      <c r="R467" s="17" t="str">
        <f aca="false">IF(Q467=H467,"Match","Mismatch")</f>
        <v>Match</v>
      </c>
      <c r="S467" s="17" t="str">
        <f aca="false">IFERROR(INDEX(SubCatCat,MATCH(J467,SubCatName,0)),"Not found")</f>
        <v>Office Supplies</v>
      </c>
      <c r="T467" s="18" t="n">
        <f aca="false">IF(K467=0,0,N467/K467)</f>
        <v>-0.1875</v>
      </c>
      <c r="U467" s="17" t="str">
        <f aca="false">IF(N467&lt;0,"Loss",IF(T467&gt;=0.2,"High margin","Normal"))</f>
        <v>Loss</v>
      </c>
      <c r="V467" s="17" t="str">
        <f aca="false">IF(M467=0,"No discount",IF(M467&lt;=0.2,"Low",IF(M467&lt;=0.4,"Medium","High")))</f>
        <v>Low</v>
      </c>
      <c r="W467" s="17" t="str">
        <f aca="false">IF(OR(B467="Same Day",B467="First Class"),"Fast","Standard")</f>
        <v>Standard</v>
      </c>
      <c r="X467" s="19" t="n">
        <f aca="false">ROUND(K467/L467,2)</f>
        <v>92.69</v>
      </c>
    </row>
    <row r="468" customFormat="false" ht="15" hidden="false" customHeight="false" outlineLevel="0" collapsed="false">
      <c r="A468" s="14" t="n">
        <v>467</v>
      </c>
      <c r="B468" s="14" t="s">
        <v>139</v>
      </c>
      <c r="C468" s="14" t="s">
        <v>153</v>
      </c>
      <c r="D468" s="14" t="s">
        <v>128</v>
      </c>
      <c r="E468" s="14" t="s">
        <v>217</v>
      </c>
      <c r="F468" s="14" t="s">
        <v>190</v>
      </c>
      <c r="G468" s="14" t="n">
        <v>85023</v>
      </c>
      <c r="H468" s="14" t="s">
        <v>3</v>
      </c>
      <c r="I468" s="14" t="s">
        <v>137</v>
      </c>
      <c r="J468" s="14" t="s">
        <v>147</v>
      </c>
      <c r="K468" s="15" t="n">
        <v>78.272</v>
      </c>
      <c r="L468" s="14" t="n">
        <v>2</v>
      </c>
      <c r="M468" s="16" t="n">
        <v>0.2</v>
      </c>
      <c r="N468" s="15" t="n">
        <v>5.8704</v>
      </c>
      <c r="O468" s="17" t="str">
        <f aca="false">UPPER(LEFT(F468,3))&amp;"-"&amp;G468</f>
        <v>ARI-85023</v>
      </c>
      <c r="P468" s="17" t="str">
        <f aca="false">PROPER(TRIM(E468))</f>
        <v>Phoenix</v>
      </c>
      <c r="Q468" s="17" t="str">
        <f aca="false">IFERROR(VLOOKUP(F468,Lookups!$A$2:$B$50,2,FALSE()),"Not found")</f>
        <v>West</v>
      </c>
      <c r="R468" s="17" t="str">
        <f aca="false">IF(Q468=H468,"Match","Mismatch")</f>
        <v>Match</v>
      </c>
      <c r="S468" s="17" t="str">
        <f aca="false">IFERROR(INDEX(SubCatCat,MATCH(J468,SubCatName,0)),"Not found")</f>
        <v>Office Supplies</v>
      </c>
      <c r="T468" s="18" t="n">
        <f aca="false">IF(K468=0,0,N468/K468)</f>
        <v>0.075</v>
      </c>
      <c r="U468" s="17" t="str">
        <f aca="false">IF(N468&lt;0,"Loss",IF(T468&gt;=0.2,"High margin","Normal"))</f>
        <v>Normal</v>
      </c>
      <c r="V468" s="17" t="str">
        <f aca="false">IF(M468=0,"No discount",IF(M468&lt;=0.2,"Low",IF(M468&lt;=0.4,"Medium","High")))</f>
        <v>Low</v>
      </c>
      <c r="W468" s="17" t="str">
        <f aca="false">IF(OR(B468="Same Day",B468="First Class"),"Fast","Standard")</f>
        <v>Standard</v>
      </c>
      <c r="X468" s="19" t="n">
        <f aca="false">ROUND(K468/L468,2)</f>
        <v>39.14</v>
      </c>
    </row>
    <row r="469" customFormat="false" ht="15" hidden="false" customHeight="false" outlineLevel="0" collapsed="false">
      <c r="A469" s="14" t="n">
        <v>468</v>
      </c>
      <c r="B469" s="14" t="s">
        <v>139</v>
      </c>
      <c r="C469" s="14" t="s">
        <v>153</v>
      </c>
      <c r="D469" s="14" t="s">
        <v>128</v>
      </c>
      <c r="E469" s="14" t="s">
        <v>301</v>
      </c>
      <c r="F469" s="14" t="s">
        <v>174</v>
      </c>
      <c r="G469" s="14" t="n">
        <v>60068</v>
      </c>
      <c r="H469" s="14" t="s">
        <v>156</v>
      </c>
      <c r="I469" s="14" t="s">
        <v>132</v>
      </c>
      <c r="J469" s="14" t="s">
        <v>144</v>
      </c>
      <c r="K469" s="15" t="n">
        <v>254.744</v>
      </c>
      <c r="L469" s="14" t="n">
        <v>7</v>
      </c>
      <c r="M469" s="16" t="n">
        <v>0.6</v>
      </c>
      <c r="N469" s="15" t="n">
        <v>-312.0614</v>
      </c>
      <c r="O469" s="17" t="str">
        <f aca="false">UPPER(LEFT(F469,3))&amp;"-"&amp;G469</f>
        <v>ILL-60068</v>
      </c>
      <c r="P469" s="17" t="str">
        <f aca="false">PROPER(TRIM(E469))</f>
        <v>Park Ridge</v>
      </c>
      <c r="Q469" s="17" t="str">
        <f aca="false">IFERROR(VLOOKUP(F469,Lookups!$A$2:$B$50,2,FALSE()),"Not found")</f>
        <v>Central</v>
      </c>
      <c r="R469" s="17" t="str">
        <f aca="false">IF(Q469=H469,"Match","Mismatch")</f>
        <v>Match</v>
      </c>
      <c r="S469" s="17" t="str">
        <f aca="false">IFERROR(INDEX(SubCatCat,MATCH(J469,SubCatName,0)),"Not found")</f>
        <v>Furniture</v>
      </c>
      <c r="T469" s="18" t="n">
        <f aca="false">IF(K469=0,0,N469/K469)</f>
        <v>-1.225</v>
      </c>
      <c r="U469" s="17" t="str">
        <f aca="false">IF(N469&lt;0,"Loss",IF(T469&gt;=0.2,"High margin","Normal"))</f>
        <v>Loss</v>
      </c>
      <c r="V469" s="17" t="str">
        <f aca="false">IF(M469=0,"No discount",IF(M469&lt;=0.2,"Low",IF(M469&lt;=0.4,"Medium","High")))</f>
        <v>High</v>
      </c>
      <c r="W469" s="17" t="str">
        <f aca="false">IF(OR(B469="Same Day",B469="First Class"),"Fast","Standard")</f>
        <v>Standard</v>
      </c>
      <c r="X469" s="19" t="n">
        <f aca="false">ROUND(K469/L469,2)</f>
        <v>36.39</v>
      </c>
    </row>
    <row r="470" customFormat="false" ht="15" hidden="false" customHeight="false" outlineLevel="0" collapsed="false">
      <c r="A470" s="14" t="n">
        <v>469</v>
      </c>
      <c r="B470" s="14" t="s">
        <v>139</v>
      </c>
      <c r="C470" s="14" t="s">
        <v>135</v>
      </c>
      <c r="D470" s="14" t="s">
        <v>128</v>
      </c>
      <c r="E470" s="14" t="s">
        <v>302</v>
      </c>
      <c r="F470" s="14" t="s">
        <v>155</v>
      </c>
      <c r="G470" s="14" t="n">
        <v>79109</v>
      </c>
      <c r="H470" s="14" t="s">
        <v>156</v>
      </c>
      <c r="I470" s="14" t="s">
        <v>132</v>
      </c>
      <c r="J470" s="14" t="s">
        <v>133</v>
      </c>
      <c r="K470" s="15" t="n">
        <v>205.3328</v>
      </c>
      <c r="L470" s="14" t="n">
        <v>2</v>
      </c>
      <c r="M470" s="16" t="n">
        <v>0.32</v>
      </c>
      <c r="N470" s="15" t="n">
        <v>-36.2352</v>
      </c>
      <c r="O470" s="17" t="str">
        <f aca="false">UPPER(LEFT(F470,3))&amp;"-"&amp;G470</f>
        <v>TEX-79109</v>
      </c>
      <c r="P470" s="17" t="str">
        <f aca="false">PROPER(TRIM(E470))</f>
        <v>Amarillo</v>
      </c>
      <c r="Q470" s="17" t="str">
        <f aca="false">IFERROR(VLOOKUP(F470,Lookups!$A$2:$B$50,2,FALSE()),"Not found")</f>
        <v>Central</v>
      </c>
      <c r="R470" s="17" t="str">
        <f aca="false">IF(Q470=H470,"Match","Mismatch")</f>
        <v>Match</v>
      </c>
      <c r="S470" s="17" t="str">
        <f aca="false">IFERROR(INDEX(SubCatCat,MATCH(J470,SubCatName,0)),"Not found")</f>
        <v>Furniture</v>
      </c>
      <c r="T470" s="18" t="n">
        <f aca="false">IF(K470=0,0,N470/K470)</f>
        <v>-0.176470588235294</v>
      </c>
      <c r="U470" s="17" t="str">
        <f aca="false">IF(N470&lt;0,"Loss",IF(T470&gt;=0.2,"High margin","Normal"))</f>
        <v>Loss</v>
      </c>
      <c r="V470" s="17" t="str">
        <f aca="false">IF(M470=0,"No discount",IF(M470&lt;=0.2,"Low",IF(M470&lt;=0.4,"Medium","High")))</f>
        <v>Medium</v>
      </c>
      <c r="W470" s="17" t="str">
        <f aca="false">IF(OR(B470="Same Day",B470="First Class"),"Fast","Standard")</f>
        <v>Standard</v>
      </c>
      <c r="X470" s="19" t="n">
        <f aca="false">ROUND(K470/L470,2)</f>
        <v>102.67</v>
      </c>
    </row>
    <row r="471" customFormat="false" ht="15" hidden="false" customHeight="false" outlineLevel="0" collapsed="false">
      <c r="A471" s="14" t="n">
        <v>470</v>
      </c>
      <c r="B471" s="14" t="s">
        <v>127</v>
      </c>
      <c r="C471" s="14" t="s">
        <v>7</v>
      </c>
      <c r="D471" s="14" t="s">
        <v>128</v>
      </c>
      <c r="E471" s="14" t="s">
        <v>188</v>
      </c>
      <c r="F471" s="14" t="s">
        <v>174</v>
      </c>
      <c r="G471" s="14" t="n">
        <v>60610</v>
      </c>
      <c r="H471" s="14" t="s">
        <v>156</v>
      </c>
      <c r="I471" s="14" t="s">
        <v>137</v>
      </c>
      <c r="J471" s="14" t="s">
        <v>146</v>
      </c>
      <c r="K471" s="15" t="n">
        <v>4.788</v>
      </c>
      <c r="L471" s="14" t="n">
        <v>3</v>
      </c>
      <c r="M471" s="16" t="n">
        <v>0.8</v>
      </c>
      <c r="N471" s="15" t="n">
        <v>-7.9002</v>
      </c>
      <c r="O471" s="17" t="str">
        <f aca="false">UPPER(LEFT(F471,3))&amp;"-"&amp;G471</f>
        <v>ILL-60610</v>
      </c>
      <c r="P471" s="17" t="str">
        <f aca="false">PROPER(TRIM(E471))</f>
        <v>Chicago</v>
      </c>
      <c r="Q471" s="17" t="str">
        <f aca="false">IFERROR(VLOOKUP(F471,Lookups!$A$2:$B$50,2,FALSE()),"Not found")</f>
        <v>Central</v>
      </c>
      <c r="R471" s="17" t="str">
        <f aca="false">IF(Q471=H471,"Match","Mismatch")</f>
        <v>Match</v>
      </c>
      <c r="S471" s="17" t="str">
        <f aca="false">IFERROR(INDEX(SubCatCat,MATCH(J471,SubCatName,0)),"Not found")</f>
        <v>Office Supplies</v>
      </c>
      <c r="T471" s="18" t="n">
        <f aca="false">IF(K471=0,0,N471/K471)</f>
        <v>-1.65</v>
      </c>
      <c r="U471" s="17" t="str">
        <f aca="false">IF(N471&lt;0,"Loss",IF(T471&gt;=0.2,"High margin","Normal"))</f>
        <v>Loss</v>
      </c>
      <c r="V471" s="17" t="str">
        <f aca="false">IF(M471=0,"No discount",IF(M471&lt;=0.2,"Low",IF(M471&lt;=0.4,"Medium","High")))</f>
        <v>High</v>
      </c>
      <c r="W471" s="17" t="str">
        <f aca="false">IF(OR(B471="Same Day",B471="First Class"),"Fast","Standard")</f>
        <v>Standard</v>
      </c>
      <c r="X471" s="19" t="n">
        <f aca="false">ROUND(K471/L471,2)</f>
        <v>1.6</v>
      </c>
    </row>
    <row r="472" customFormat="false" ht="15" hidden="false" customHeight="false" outlineLevel="0" collapsed="false">
      <c r="A472" s="14" t="n">
        <v>471</v>
      </c>
      <c r="B472" s="14" t="s">
        <v>139</v>
      </c>
      <c r="C472" s="14" t="s">
        <v>135</v>
      </c>
      <c r="D472" s="14" t="s">
        <v>128</v>
      </c>
      <c r="E472" s="14" t="s">
        <v>303</v>
      </c>
      <c r="F472" s="14" t="s">
        <v>185</v>
      </c>
      <c r="G472" s="14" t="n">
        <v>11757</v>
      </c>
      <c r="H472" s="14" t="s">
        <v>166</v>
      </c>
      <c r="I472" s="14" t="s">
        <v>137</v>
      </c>
      <c r="J472" s="14" t="s">
        <v>150</v>
      </c>
      <c r="K472" s="15" t="n">
        <v>55.48</v>
      </c>
      <c r="L472" s="14" t="n">
        <v>1</v>
      </c>
      <c r="M472" s="16" t="n">
        <v>0</v>
      </c>
      <c r="N472" s="15" t="n">
        <v>26.6304</v>
      </c>
      <c r="O472" s="17" t="str">
        <f aca="false">UPPER(LEFT(F472,3))&amp;"-"&amp;G472</f>
        <v>NEW-11757</v>
      </c>
      <c r="P472" s="17" t="str">
        <f aca="false">PROPER(TRIM(E472))</f>
        <v>Lindenhurst</v>
      </c>
      <c r="Q472" s="17" t="str">
        <f aca="false">IFERROR(VLOOKUP(F472,Lookups!$A$2:$B$50,2,FALSE()),"Not found")</f>
        <v>East</v>
      </c>
      <c r="R472" s="17" t="str">
        <f aca="false">IF(Q472=H472,"Match","Mismatch")</f>
        <v>Match</v>
      </c>
      <c r="S472" s="17" t="str">
        <f aca="false">IFERROR(INDEX(SubCatCat,MATCH(J472,SubCatName,0)),"Not found")</f>
        <v>Office Supplies</v>
      </c>
      <c r="T472" s="18" t="n">
        <f aca="false">IF(K472=0,0,N472/K472)</f>
        <v>0.48</v>
      </c>
      <c r="U472" s="17" t="str">
        <f aca="false">IF(N472&lt;0,"Loss",IF(T472&gt;=0.2,"High margin","Normal"))</f>
        <v>High margin</v>
      </c>
      <c r="V472" s="17" t="str">
        <f aca="false">IF(M472=0,"No discount",IF(M472&lt;=0.2,"Low",IF(M472&lt;=0.4,"Medium","High")))</f>
        <v>No discount</v>
      </c>
      <c r="W472" s="17" t="str">
        <f aca="false">IF(OR(B472="Same Day",B472="First Class"),"Fast","Standard")</f>
        <v>Standard</v>
      </c>
      <c r="X472" s="19" t="n">
        <f aca="false">ROUND(K472/L472,2)</f>
        <v>55.48</v>
      </c>
    </row>
    <row r="473" customFormat="false" ht="15" hidden="false" customHeight="false" outlineLevel="0" collapsed="false">
      <c r="A473" s="14" t="n">
        <v>472</v>
      </c>
      <c r="B473" s="14" t="s">
        <v>127</v>
      </c>
      <c r="C473" s="14" t="s">
        <v>7</v>
      </c>
      <c r="D473" s="14" t="s">
        <v>128</v>
      </c>
      <c r="E473" s="14" t="s">
        <v>161</v>
      </c>
      <c r="F473" s="14" t="s">
        <v>9</v>
      </c>
      <c r="G473" s="14" t="n">
        <v>94110</v>
      </c>
      <c r="H473" s="14" t="s">
        <v>3</v>
      </c>
      <c r="I473" s="14" t="s">
        <v>137</v>
      </c>
      <c r="J473" s="14" t="s">
        <v>143</v>
      </c>
      <c r="K473" s="15" t="n">
        <v>340.92</v>
      </c>
      <c r="L473" s="14" t="n">
        <v>3</v>
      </c>
      <c r="M473" s="16" t="n">
        <v>0</v>
      </c>
      <c r="N473" s="15" t="n">
        <v>3.4092</v>
      </c>
      <c r="O473" s="17" t="str">
        <f aca="false">UPPER(LEFT(F473,3))&amp;"-"&amp;G473</f>
        <v>CAL-94110</v>
      </c>
      <c r="P473" s="17" t="str">
        <f aca="false">PROPER(TRIM(E473))</f>
        <v>San Francisco</v>
      </c>
      <c r="Q473" s="17" t="str">
        <f aca="false">IFERROR(VLOOKUP(F473,Lookups!$A$2:$B$50,2,FALSE()),"Not found")</f>
        <v>West</v>
      </c>
      <c r="R473" s="17" t="str">
        <f aca="false">IF(Q473=H473,"Match","Mismatch")</f>
        <v>Match</v>
      </c>
      <c r="S473" s="17" t="str">
        <f aca="false">IFERROR(INDEX(SubCatCat,MATCH(J473,SubCatName,0)),"Not found")</f>
        <v>Office Supplies</v>
      </c>
      <c r="T473" s="18" t="n">
        <f aca="false">IF(K473=0,0,N473/K473)</f>
        <v>0.01</v>
      </c>
      <c r="U473" s="17" t="str">
        <f aca="false">IF(N473&lt;0,"Loss",IF(T473&gt;=0.2,"High margin","Normal"))</f>
        <v>Normal</v>
      </c>
      <c r="V473" s="17" t="str">
        <f aca="false">IF(M473=0,"No discount",IF(M473&lt;=0.2,"Low",IF(M473&lt;=0.4,"Medium","High")))</f>
        <v>No discount</v>
      </c>
      <c r="W473" s="17" t="str">
        <f aca="false">IF(OR(B473="Same Day",B473="First Class"),"Fast","Standard")</f>
        <v>Standard</v>
      </c>
      <c r="X473" s="19" t="n">
        <f aca="false">ROUND(K473/L473,2)</f>
        <v>113.64</v>
      </c>
    </row>
    <row r="474" customFormat="false" ht="15" hidden="false" customHeight="false" outlineLevel="0" collapsed="false">
      <c r="A474" s="14" t="n">
        <v>473</v>
      </c>
      <c r="B474" s="14" t="s">
        <v>127</v>
      </c>
      <c r="C474" s="14" t="s">
        <v>7</v>
      </c>
      <c r="D474" s="14" t="s">
        <v>128</v>
      </c>
      <c r="E474" s="14" t="s">
        <v>161</v>
      </c>
      <c r="F474" s="14" t="s">
        <v>9</v>
      </c>
      <c r="G474" s="14" t="n">
        <v>94110</v>
      </c>
      <c r="H474" s="14" t="s">
        <v>3</v>
      </c>
      <c r="I474" s="14" t="s">
        <v>132</v>
      </c>
      <c r="J474" s="14" t="s">
        <v>133</v>
      </c>
      <c r="K474" s="15" t="n">
        <v>222.666</v>
      </c>
      <c r="L474" s="14" t="n">
        <v>2</v>
      </c>
      <c r="M474" s="16" t="n">
        <v>0.15</v>
      </c>
      <c r="N474" s="15" t="n">
        <v>10.4784</v>
      </c>
      <c r="O474" s="17" t="str">
        <f aca="false">UPPER(LEFT(F474,3))&amp;"-"&amp;G474</f>
        <v>CAL-94110</v>
      </c>
      <c r="P474" s="17" t="str">
        <f aca="false">PROPER(TRIM(E474))</f>
        <v>San Francisco</v>
      </c>
      <c r="Q474" s="17" t="str">
        <f aca="false">IFERROR(VLOOKUP(F474,Lookups!$A$2:$B$50,2,FALSE()),"Not found")</f>
        <v>West</v>
      </c>
      <c r="R474" s="17" t="str">
        <f aca="false">IF(Q474=H474,"Match","Mismatch")</f>
        <v>Match</v>
      </c>
      <c r="S474" s="17" t="str">
        <f aca="false">IFERROR(INDEX(SubCatCat,MATCH(J474,SubCatName,0)),"Not found")</f>
        <v>Furniture</v>
      </c>
      <c r="T474" s="18" t="n">
        <f aca="false">IF(K474=0,0,N474/K474)</f>
        <v>0.0470588235294118</v>
      </c>
      <c r="U474" s="17" t="str">
        <f aca="false">IF(N474&lt;0,"Loss",IF(T474&gt;=0.2,"High margin","Normal"))</f>
        <v>Normal</v>
      </c>
      <c r="V474" s="17" t="str">
        <f aca="false">IF(M474=0,"No discount",IF(M474&lt;=0.2,"Low",IF(M474&lt;=0.4,"Medium","High")))</f>
        <v>Low</v>
      </c>
      <c r="W474" s="17" t="str">
        <f aca="false">IF(OR(B474="Same Day",B474="First Class"),"Fast","Standard")</f>
        <v>Standard</v>
      </c>
      <c r="X474" s="19" t="n">
        <f aca="false">ROUND(K474/L474,2)</f>
        <v>111.33</v>
      </c>
    </row>
    <row r="475" customFormat="false" ht="15" hidden="false" customHeight="false" outlineLevel="0" collapsed="false">
      <c r="A475" s="14" t="n">
        <v>474</v>
      </c>
      <c r="B475" s="14" t="s">
        <v>127</v>
      </c>
      <c r="C475" s="14" t="s">
        <v>7</v>
      </c>
      <c r="D475" s="14" t="s">
        <v>128</v>
      </c>
      <c r="E475" s="14" t="s">
        <v>161</v>
      </c>
      <c r="F475" s="14" t="s">
        <v>9</v>
      </c>
      <c r="G475" s="14" t="n">
        <v>94110</v>
      </c>
      <c r="H475" s="14" t="s">
        <v>3</v>
      </c>
      <c r="I475" s="14" t="s">
        <v>5</v>
      </c>
      <c r="J475" s="14" t="s">
        <v>11</v>
      </c>
      <c r="K475" s="15" t="n">
        <v>703.968</v>
      </c>
      <c r="L475" s="14" t="n">
        <v>4</v>
      </c>
      <c r="M475" s="16" t="n">
        <v>0.2</v>
      </c>
      <c r="N475" s="15" t="n">
        <v>87.996</v>
      </c>
      <c r="O475" s="17" t="str">
        <f aca="false">UPPER(LEFT(F475,3))&amp;"-"&amp;G475</f>
        <v>CAL-94110</v>
      </c>
      <c r="P475" s="17" t="str">
        <f aca="false">PROPER(TRIM(E475))</f>
        <v>San Francisco</v>
      </c>
      <c r="Q475" s="17" t="str">
        <f aca="false">IFERROR(VLOOKUP(F475,Lookups!$A$2:$B$50,2,FALSE()),"Not found")</f>
        <v>West</v>
      </c>
      <c r="R475" s="17" t="str">
        <f aca="false">IF(Q475=H475,"Match","Mismatch")</f>
        <v>Match</v>
      </c>
      <c r="S475" s="17" t="str">
        <f aca="false">IFERROR(INDEX(SubCatCat,MATCH(J475,SubCatName,0)),"Not found")</f>
        <v>Technology</v>
      </c>
      <c r="T475" s="18" t="n">
        <f aca="false">IF(K475=0,0,N475/K475)</f>
        <v>0.125</v>
      </c>
      <c r="U475" s="17" t="str">
        <f aca="false">IF(N475&lt;0,"Loss",IF(T475&gt;=0.2,"High margin","Normal"))</f>
        <v>Normal</v>
      </c>
      <c r="V475" s="17" t="str">
        <f aca="false">IF(M475=0,"No discount",IF(M475&lt;=0.2,"Low",IF(M475&lt;=0.4,"Medium","High")))</f>
        <v>Low</v>
      </c>
      <c r="W475" s="17" t="str">
        <f aca="false">IF(OR(B475="Same Day",B475="First Class"),"Fast","Standard")</f>
        <v>Standard</v>
      </c>
      <c r="X475" s="19" t="n">
        <f aca="false">ROUND(K475/L475,2)</f>
        <v>175.99</v>
      </c>
    </row>
    <row r="476" customFormat="false" ht="15" hidden="false" customHeight="false" outlineLevel="0" collapsed="false">
      <c r="A476" s="14" t="n">
        <v>475</v>
      </c>
      <c r="B476" s="14" t="s">
        <v>127</v>
      </c>
      <c r="C476" s="14" t="s">
        <v>7</v>
      </c>
      <c r="D476" s="14" t="s">
        <v>128</v>
      </c>
      <c r="E476" s="14" t="s">
        <v>161</v>
      </c>
      <c r="F476" s="14" t="s">
        <v>9</v>
      </c>
      <c r="G476" s="14" t="n">
        <v>94110</v>
      </c>
      <c r="H476" s="14" t="s">
        <v>3</v>
      </c>
      <c r="I476" s="14" t="s">
        <v>137</v>
      </c>
      <c r="J476" s="14" t="s">
        <v>143</v>
      </c>
      <c r="K476" s="15" t="n">
        <v>92.52</v>
      </c>
      <c r="L476" s="14" t="n">
        <v>6</v>
      </c>
      <c r="M476" s="16" t="n">
        <v>0</v>
      </c>
      <c r="N476" s="15" t="n">
        <v>24.9804</v>
      </c>
      <c r="O476" s="17" t="str">
        <f aca="false">UPPER(LEFT(F476,3))&amp;"-"&amp;G476</f>
        <v>CAL-94110</v>
      </c>
      <c r="P476" s="17" t="str">
        <f aca="false">PROPER(TRIM(E476))</f>
        <v>San Francisco</v>
      </c>
      <c r="Q476" s="17" t="str">
        <f aca="false">IFERROR(VLOOKUP(F476,Lookups!$A$2:$B$50,2,FALSE()),"Not found")</f>
        <v>West</v>
      </c>
      <c r="R476" s="17" t="str">
        <f aca="false">IF(Q476=H476,"Match","Mismatch")</f>
        <v>Match</v>
      </c>
      <c r="S476" s="17" t="str">
        <f aca="false">IFERROR(INDEX(SubCatCat,MATCH(J476,SubCatName,0)),"Not found")</f>
        <v>Office Supplies</v>
      </c>
      <c r="T476" s="18" t="n">
        <f aca="false">IF(K476=0,0,N476/K476)</f>
        <v>0.27</v>
      </c>
      <c r="U476" s="17" t="str">
        <f aca="false">IF(N476&lt;0,"Loss",IF(T476&gt;=0.2,"High margin","Normal"))</f>
        <v>High margin</v>
      </c>
      <c r="V476" s="17" t="str">
        <f aca="false">IF(M476=0,"No discount",IF(M476&lt;=0.2,"Low",IF(M476&lt;=0.4,"Medium","High")))</f>
        <v>No discount</v>
      </c>
      <c r="W476" s="17" t="str">
        <f aca="false">IF(OR(B476="Same Day",B476="First Class"),"Fast","Standard")</f>
        <v>Standard</v>
      </c>
      <c r="X476" s="19" t="n">
        <f aca="false">ROUND(K476/L476,2)</f>
        <v>15.42</v>
      </c>
    </row>
    <row r="477" customFormat="false" ht="15" hidden="false" customHeight="false" outlineLevel="0" collapsed="false">
      <c r="A477" s="14" t="n">
        <v>476</v>
      </c>
      <c r="B477" s="14" t="s">
        <v>127</v>
      </c>
      <c r="C477" s="14" t="s">
        <v>7</v>
      </c>
      <c r="D477" s="14" t="s">
        <v>128</v>
      </c>
      <c r="E477" s="14" t="s">
        <v>161</v>
      </c>
      <c r="F477" s="14" t="s">
        <v>9</v>
      </c>
      <c r="G477" s="14" t="n">
        <v>94110</v>
      </c>
      <c r="H477" s="14" t="s">
        <v>3</v>
      </c>
      <c r="I477" s="14" t="s">
        <v>137</v>
      </c>
      <c r="J477" s="14" t="s">
        <v>150</v>
      </c>
      <c r="K477" s="15" t="n">
        <v>62.65</v>
      </c>
      <c r="L477" s="14" t="n">
        <v>7</v>
      </c>
      <c r="M477" s="16" t="n">
        <v>0</v>
      </c>
      <c r="N477" s="15" t="n">
        <v>28.819</v>
      </c>
      <c r="O477" s="17" t="str">
        <f aca="false">UPPER(LEFT(F477,3))&amp;"-"&amp;G477</f>
        <v>CAL-94110</v>
      </c>
      <c r="P477" s="17" t="str">
        <f aca="false">PROPER(TRIM(E477))</f>
        <v>San Francisco</v>
      </c>
      <c r="Q477" s="17" t="str">
        <f aca="false">IFERROR(VLOOKUP(F477,Lookups!$A$2:$B$50,2,FALSE()),"Not found")</f>
        <v>West</v>
      </c>
      <c r="R477" s="17" t="str">
        <f aca="false">IF(Q477=H477,"Match","Mismatch")</f>
        <v>Match</v>
      </c>
      <c r="S477" s="17" t="str">
        <f aca="false">IFERROR(INDEX(SubCatCat,MATCH(J477,SubCatName,0)),"Not found")</f>
        <v>Office Supplies</v>
      </c>
      <c r="T477" s="18" t="n">
        <f aca="false">IF(K477=0,0,N477/K477)</f>
        <v>0.46</v>
      </c>
      <c r="U477" s="17" t="str">
        <f aca="false">IF(N477&lt;0,"Loss",IF(T477&gt;=0.2,"High margin","Normal"))</f>
        <v>High margin</v>
      </c>
      <c r="V477" s="17" t="str">
        <f aca="false">IF(M477=0,"No discount",IF(M477&lt;=0.2,"Low",IF(M477&lt;=0.4,"Medium","High")))</f>
        <v>No discount</v>
      </c>
      <c r="W477" s="17" t="str">
        <f aca="false">IF(OR(B477="Same Day",B477="First Class"),"Fast","Standard")</f>
        <v>Standard</v>
      </c>
      <c r="X477" s="19" t="n">
        <f aca="false">ROUND(K477/L477,2)</f>
        <v>8.95</v>
      </c>
    </row>
    <row r="478" customFormat="false" ht="15" hidden="false" customHeight="false" outlineLevel="0" collapsed="false">
      <c r="A478" s="14" t="n">
        <v>477</v>
      </c>
      <c r="B478" s="14" t="s">
        <v>127</v>
      </c>
      <c r="C478" s="14" t="s">
        <v>7</v>
      </c>
      <c r="D478" s="14" t="s">
        <v>128</v>
      </c>
      <c r="E478" s="14" t="s">
        <v>161</v>
      </c>
      <c r="F478" s="14" t="s">
        <v>9</v>
      </c>
      <c r="G478" s="14" t="n">
        <v>94110</v>
      </c>
      <c r="H478" s="14" t="s">
        <v>3</v>
      </c>
      <c r="I478" s="14" t="s">
        <v>137</v>
      </c>
      <c r="J478" s="14" t="s">
        <v>150</v>
      </c>
      <c r="K478" s="15" t="n">
        <v>94.85</v>
      </c>
      <c r="L478" s="14" t="n">
        <v>5</v>
      </c>
      <c r="M478" s="16" t="n">
        <v>0</v>
      </c>
      <c r="N478" s="15" t="n">
        <v>45.528</v>
      </c>
      <c r="O478" s="17" t="str">
        <f aca="false">UPPER(LEFT(F478,3))&amp;"-"&amp;G478</f>
        <v>CAL-94110</v>
      </c>
      <c r="P478" s="17" t="str">
        <f aca="false">PROPER(TRIM(E478))</f>
        <v>San Francisco</v>
      </c>
      <c r="Q478" s="17" t="str">
        <f aca="false">IFERROR(VLOOKUP(F478,Lookups!$A$2:$B$50,2,FALSE()),"Not found")</f>
        <v>West</v>
      </c>
      <c r="R478" s="17" t="str">
        <f aca="false">IF(Q478=H478,"Match","Mismatch")</f>
        <v>Match</v>
      </c>
      <c r="S478" s="17" t="str">
        <f aca="false">IFERROR(INDEX(SubCatCat,MATCH(J478,SubCatName,0)),"Not found")</f>
        <v>Office Supplies</v>
      </c>
      <c r="T478" s="18" t="n">
        <f aca="false">IF(K478=0,0,N478/K478)</f>
        <v>0.48</v>
      </c>
      <c r="U478" s="17" t="str">
        <f aca="false">IF(N478&lt;0,"Loss",IF(T478&gt;=0.2,"High margin","Normal"))</f>
        <v>High margin</v>
      </c>
      <c r="V478" s="17" t="str">
        <f aca="false">IF(M478=0,"No discount",IF(M478&lt;=0.2,"Low",IF(M478&lt;=0.4,"Medium","High")))</f>
        <v>No discount</v>
      </c>
      <c r="W478" s="17" t="str">
        <f aca="false">IF(OR(B478="Same Day",B478="First Class"),"Fast","Standard")</f>
        <v>Standard</v>
      </c>
      <c r="X478" s="19" t="n">
        <f aca="false">ROUND(K478/L478,2)</f>
        <v>18.97</v>
      </c>
    </row>
    <row r="479" customFormat="false" ht="15" hidden="false" customHeight="false" outlineLevel="0" collapsed="false">
      <c r="A479" s="14" t="n">
        <v>478</v>
      </c>
      <c r="B479" s="14" t="s">
        <v>139</v>
      </c>
      <c r="C479" s="14" t="s">
        <v>135</v>
      </c>
      <c r="D479" s="14" t="s">
        <v>128</v>
      </c>
      <c r="E479" s="14" t="s">
        <v>136</v>
      </c>
      <c r="F479" s="14" t="s">
        <v>9</v>
      </c>
      <c r="G479" s="14" t="n">
        <v>90008</v>
      </c>
      <c r="H479" s="14" t="s">
        <v>3</v>
      </c>
      <c r="I479" s="14" t="s">
        <v>5</v>
      </c>
      <c r="J479" s="14" t="s">
        <v>11</v>
      </c>
      <c r="K479" s="15" t="n">
        <v>95.76</v>
      </c>
      <c r="L479" s="14" t="n">
        <v>6</v>
      </c>
      <c r="M479" s="16" t="n">
        <v>0.2</v>
      </c>
      <c r="N479" s="15" t="n">
        <v>7.182</v>
      </c>
      <c r="O479" s="17" t="str">
        <f aca="false">UPPER(LEFT(F479,3))&amp;"-"&amp;G479</f>
        <v>CAL-90008</v>
      </c>
      <c r="P479" s="17" t="str">
        <f aca="false">PROPER(TRIM(E479))</f>
        <v>Los Angeles</v>
      </c>
      <c r="Q479" s="17" t="str">
        <f aca="false">IFERROR(VLOOKUP(F479,Lookups!$A$2:$B$50,2,FALSE()),"Not found")</f>
        <v>West</v>
      </c>
      <c r="R479" s="17" t="str">
        <f aca="false">IF(Q479=H479,"Match","Mismatch")</f>
        <v>Match</v>
      </c>
      <c r="S479" s="17" t="str">
        <f aca="false">IFERROR(INDEX(SubCatCat,MATCH(J479,SubCatName,0)),"Not found")</f>
        <v>Technology</v>
      </c>
      <c r="T479" s="18" t="n">
        <f aca="false">IF(K479=0,0,N479/K479)</f>
        <v>0.075</v>
      </c>
      <c r="U479" s="17" t="str">
        <f aca="false">IF(N479&lt;0,"Loss",IF(T479&gt;=0.2,"High margin","Normal"))</f>
        <v>Normal</v>
      </c>
      <c r="V479" s="17" t="str">
        <f aca="false">IF(M479=0,"No discount",IF(M479&lt;=0.2,"Low",IF(M479&lt;=0.4,"Medium","High")))</f>
        <v>Low</v>
      </c>
      <c r="W479" s="17" t="str">
        <f aca="false">IF(OR(B479="Same Day",B479="First Class"),"Fast","Standard")</f>
        <v>Standard</v>
      </c>
      <c r="X479" s="19" t="n">
        <f aca="false">ROUND(K479/L479,2)</f>
        <v>15.96</v>
      </c>
    </row>
    <row r="480" customFormat="false" ht="15" hidden="false" customHeight="false" outlineLevel="0" collapsed="false">
      <c r="A480" s="14" t="n">
        <v>479</v>
      </c>
      <c r="B480" s="14" t="s">
        <v>139</v>
      </c>
      <c r="C480" s="14" t="s">
        <v>7</v>
      </c>
      <c r="D480" s="14" t="s">
        <v>128</v>
      </c>
      <c r="E480" s="14" t="s">
        <v>187</v>
      </c>
      <c r="F480" s="14" t="s">
        <v>185</v>
      </c>
      <c r="G480" s="14" t="n">
        <v>12180</v>
      </c>
      <c r="H480" s="14" t="s">
        <v>166</v>
      </c>
      <c r="I480" s="14" t="s">
        <v>132</v>
      </c>
      <c r="J480" s="14" t="s">
        <v>144</v>
      </c>
      <c r="K480" s="15" t="n">
        <v>40.2</v>
      </c>
      <c r="L480" s="14" t="n">
        <v>3</v>
      </c>
      <c r="M480" s="16" t="n">
        <v>0</v>
      </c>
      <c r="N480" s="15" t="n">
        <v>19.296</v>
      </c>
      <c r="O480" s="17" t="str">
        <f aca="false">UPPER(LEFT(F480,3))&amp;"-"&amp;G480</f>
        <v>NEW-12180</v>
      </c>
      <c r="P480" s="17" t="str">
        <f aca="false">PROPER(TRIM(E480))</f>
        <v>Troy</v>
      </c>
      <c r="Q480" s="17" t="str">
        <f aca="false">IFERROR(VLOOKUP(F480,Lookups!$A$2:$B$50,2,FALSE()),"Not found")</f>
        <v>East</v>
      </c>
      <c r="R480" s="17" t="str">
        <f aca="false">IF(Q480=H480,"Match","Mismatch")</f>
        <v>Match</v>
      </c>
      <c r="S480" s="17" t="str">
        <f aca="false">IFERROR(INDEX(SubCatCat,MATCH(J480,SubCatName,0)),"Not found")</f>
        <v>Furniture</v>
      </c>
      <c r="T480" s="18" t="n">
        <f aca="false">IF(K480=0,0,N480/K480)</f>
        <v>0.48</v>
      </c>
      <c r="U480" s="17" t="str">
        <f aca="false">IF(N480&lt;0,"Loss",IF(T480&gt;=0.2,"High margin","Normal"))</f>
        <v>High margin</v>
      </c>
      <c r="V480" s="17" t="str">
        <f aca="false">IF(M480=0,"No discount",IF(M480&lt;=0.2,"Low",IF(M480&lt;=0.4,"Medium","High")))</f>
        <v>No discount</v>
      </c>
      <c r="W480" s="17" t="str">
        <f aca="false">IF(OR(B480="Same Day",B480="First Class"),"Fast","Standard")</f>
        <v>Standard</v>
      </c>
      <c r="X480" s="19" t="n">
        <f aca="false">ROUND(K480/L480,2)</f>
        <v>13.4</v>
      </c>
    </row>
    <row r="481" customFormat="false" ht="15" hidden="false" customHeight="false" outlineLevel="0" collapsed="false">
      <c r="A481" s="14" t="n">
        <v>480</v>
      </c>
      <c r="B481" s="14" t="s">
        <v>139</v>
      </c>
      <c r="C481" s="14" t="s">
        <v>135</v>
      </c>
      <c r="D481" s="14" t="s">
        <v>128</v>
      </c>
      <c r="E481" s="14" t="s">
        <v>184</v>
      </c>
      <c r="F481" s="14" t="s">
        <v>185</v>
      </c>
      <c r="G481" s="14" t="n">
        <v>10024</v>
      </c>
      <c r="H481" s="14" t="s">
        <v>166</v>
      </c>
      <c r="I481" s="14" t="s">
        <v>137</v>
      </c>
      <c r="J481" s="14" t="s">
        <v>145</v>
      </c>
      <c r="K481" s="15" t="n">
        <v>14.7</v>
      </c>
      <c r="L481" s="14" t="n">
        <v>5</v>
      </c>
      <c r="M481" s="16" t="n">
        <v>0</v>
      </c>
      <c r="N481" s="15" t="n">
        <v>6.615</v>
      </c>
      <c r="O481" s="17" t="str">
        <f aca="false">UPPER(LEFT(F481,3))&amp;"-"&amp;G481</f>
        <v>NEW-10024</v>
      </c>
      <c r="P481" s="17" t="str">
        <f aca="false">PROPER(TRIM(E481))</f>
        <v>New York City</v>
      </c>
      <c r="Q481" s="17" t="str">
        <f aca="false">IFERROR(VLOOKUP(F481,Lookups!$A$2:$B$50,2,FALSE()),"Not found")</f>
        <v>East</v>
      </c>
      <c r="R481" s="17" t="str">
        <f aca="false">IF(Q481=H481,"Match","Mismatch")</f>
        <v>Match</v>
      </c>
      <c r="S481" s="17" t="str">
        <f aca="false">IFERROR(INDEX(SubCatCat,MATCH(J481,SubCatName,0)),"Not found")</f>
        <v>Office Supplies</v>
      </c>
      <c r="T481" s="18" t="n">
        <f aca="false">IF(K481=0,0,N481/K481)</f>
        <v>0.45</v>
      </c>
      <c r="U481" s="17" t="str">
        <f aca="false">IF(N481&lt;0,"Loss",IF(T481&gt;=0.2,"High margin","Normal"))</f>
        <v>High margin</v>
      </c>
      <c r="V481" s="17" t="str">
        <f aca="false">IF(M481=0,"No discount",IF(M481&lt;=0.2,"Low",IF(M481&lt;=0.4,"Medium","High")))</f>
        <v>No discount</v>
      </c>
      <c r="W481" s="17" t="str">
        <f aca="false">IF(OR(B481="Same Day",B481="First Class"),"Fast","Standard")</f>
        <v>Standard</v>
      </c>
      <c r="X481" s="19" t="n">
        <f aca="false">ROUND(K481/L481,2)</f>
        <v>2.94</v>
      </c>
    </row>
    <row r="482" customFormat="false" ht="15" hidden="false" customHeight="false" outlineLevel="0" collapsed="false">
      <c r="A482" s="14" t="n">
        <v>481</v>
      </c>
      <c r="B482" s="14" t="s">
        <v>139</v>
      </c>
      <c r="C482" s="14" t="s">
        <v>135</v>
      </c>
      <c r="D482" s="14" t="s">
        <v>128</v>
      </c>
      <c r="E482" s="14" t="s">
        <v>184</v>
      </c>
      <c r="F482" s="14" t="s">
        <v>185</v>
      </c>
      <c r="G482" s="14" t="n">
        <v>10024</v>
      </c>
      <c r="H482" s="14" t="s">
        <v>166</v>
      </c>
      <c r="I482" s="14" t="s">
        <v>137</v>
      </c>
      <c r="J482" s="14" t="s">
        <v>143</v>
      </c>
      <c r="K482" s="15" t="n">
        <v>704.25</v>
      </c>
      <c r="L482" s="14" t="n">
        <v>5</v>
      </c>
      <c r="M482" s="16" t="n">
        <v>0</v>
      </c>
      <c r="N482" s="15" t="n">
        <v>84.51</v>
      </c>
      <c r="O482" s="17" t="str">
        <f aca="false">UPPER(LEFT(F482,3))&amp;"-"&amp;G482</f>
        <v>NEW-10024</v>
      </c>
      <c r="P482" s="17" t="str">
        <f aca="false">PROPER(TRIM(E482))</f>
        <v>New York City</v>
      </c>
      <c r="Q482" s="17" t="str">
        <f aca="false">IFERROR(VLOOKUP(F482,Lookups!$A$2:$B$50,2,FALSE()),"Not found")</f>
        <v>East</v>
      </c>
      <c r="R482" s="17" t="str">
        <f aca="false">IF(Q482=H482,"Match","Mismatch")</f>
        <v>Match</v>
      </c>
      <c r="S482" s="17" t="str">
        <f aca="false">IFERROR(INDEX(SubCatCat,MATCH(J482,SubCatName,0)),"Not found")</f>
        <v>Office Supplies</v>
      </c>
      <c r="T482" s="18" t="n">
        <f aca="false">IF(K482=0,0,N482/K482)</f>
        <v>0.12</v>
      </c>
      <c r="U482" s="17" t="str">
        <f aca="false">IF(N482&lt;0,"Loss",IF(T482&gt;=0.2,"High margin","Normal"))</f>
        <v>Normal</v>
      </c>
      <c r="V482" s="17" t="str">
        <f aca="false">IF(M482=0,"No discount",IF(M482&lt;=0.2,"Low",IF(M482&lt;=0.4,"Medium","High")))</f>
        <v>No discount</v>
      </c>
      <c r="W482" s="17" t="str">
        <f aca="false">IF(OR(B482="Same Day",B482="First Class"),"Fast","Standard")</f>
        <v>Standard</v>
      </c>
      <c r="X482" s="19" t="n">
        <f aca="false">ROUND(K482/L482,2)</f>
        <v>140.85</v>
      </c>
    </row>
    <row r="483" customFormat="false" ht="15" hidden="false" customHeight="false" outlineLevel="0" collapsed="false">
      <c r="A483" s="14" t="n">
        <v>482</v>
      </c>
      <c r="B483" s="14" t="s">
        <v>139</v>
      </c>
      <c r="C483" s="14" t="s">
        <v>7</v>
      </c>
      <c r="D483" s="14" t="s">
        <v>128</v>
      </c>
      <c r="E483" s="14" t="s">
        <v>253</v>
      </c>
      <c r="F483" s="14" t="s">
        <v>9</v>
      </c>
      <c r="G483" s="14" t="n">
        <v>92024</v>
      </c>
      <c r="H483" s="14" t="s">
        <v>3</v>
      </c>
      <c r="I483" s="14" t="s">
        <v>5</v>
      </c>
      <c r="J483" s="14" t="s">
        <v>168</v>
      </c>
      <c r="K483" s="15" t="n">
        <v>9.09</v>
      </c>
      <c r="L483" s="14" t="n">
        <v>3</v>
      </c>
      <c r="M483" s="16" t="n">
        <v>0</v>
      </c>
      <c r="N483" s="15" t="n">
        <v>1.9089</v>
      </c>
      <c r="O483" s="17" t="str">
        <f aca="false">UPPER(LEFT(F483,3))&amp;"-"&amp;G483</f>
        <v>CAL-92024</v>
      </c>
      <c r="P483" s="17" t="str">
        <f aca="false">PROPER(TRIM(E483))</f>
        <v>San Diego</v>
      </c>
      <c r="Q483" s="17" t="str">
        <f aca="false">IFERROR(VLOOKUP(F483,Lookups!$A$2:$B$50,2,FALSE()),"Not found")</f>
        <v>West</v>
      </c>
      <c r="R483" s="17" t="str">
        <f aca="false">IF(Q483=H483,"Match","Mismatch")</f>
        <v>Match</v>
      </c>
      <c r="S483" s="17" t="str">
        <f aca="false">IFERROR(INDEX(SubCatCat,MATCH(J483,SubCatName,0)),"Not found")</f>
        <v>Technology</v>
      </c>
      <c r="T483" s="18" t="n">
        <f aca="false">IF(K483=0,0,N483/K483)</f>
        <v>0.21</v>
      </c>
      <c r="U483" s="17" t="str">
        <f aca="false">IF(N483&lt;0,"Loss",IF(T483&gt;=0.2,"High margin","Normal"))</f>
        <v>High margin</v>
      </c>
      <c r="V483" s="17" t="str">
        <f aca="false">IF(M483=0,"No discount",IF(M483&lt;=0.2,"Low",IF(M483&lt;=0.4,"Medium","High")))</f>
        <v>No discount</v>
      </c>
      <c r="W483" s="17" t="str">
        <f aca="false">IF(OR(B483="Same Day",B483="First Class"),"Fast","Standard")</f>
        <v>Standard</v>
      </c>
      <c r="X483" s="19" t="n">
        <f aca="false">ROUND(K483/L483,2)</f>
        <v>3.03</v>
      </c>
    </row>
    <row r="484" customFormat="false" ht="15" hidden="false" customHeight="false" outlineLevel="0" collapsed="false">
      <c r="A484" s="14" t="n">
        <v>483</v>
      </c>
      <c r="B484" s="14" t="s">
        <v>139</v>
      </c>
      <c r="C484" s="14" t="s">
        <v>7</v>
      </c>
      <c r="D484" s="14" t="s">
        <v>128</v>
      </c>
      <c r="E484" s="14" t="s">
        <v>184</v>
      </c>
      <c r="F484" s="14" t="s">
        <v>185</v>
      </c>
      <c r="G484" s="14" t="n">
        <v>10024</v>
      </c>
      <c r="H484" s="14" t="s">
        <v>166</v>
      </c>
      <c r="I484" s="14" t="s">
        <v>137</v>
      </c>
      <c r="J484" s="14" t="s">
        <v>145</v>
      </c>
      <c r="K484" s="15" t="n">
        <v>5.96</v>
      </c>
      <c r="L484" s="14" t="n">
        <v>2</v>
      </c>
      <c r="M484" s="16" t="n">
        <v>0</v>
      </c>
      <c r="N484" s="15" t="n">
        <v>1.6688</v>
      </c>
      <c r="O484" s="17" t="str">
        <f aca="false">UPPER(LEFT(F484,3))&amp;"-"&amp;G484</f>
        <v>NEW-10024</v>
      </c>
      <c r="P484" s="17" t="str">
        <f aca="false">PROPER(TRIM(E484))</f>
        <v>New York City</v>
      </c>
      <c r="Q484" s="17" t="str">
        <f aca="false">IFERROR(VLOOKUP(F484,Lookups!$A$2:$B$50,2,FALSE()),"Not found")</f>
        <v>East</v>
      </c>
      <c r="R484" s="17" t="str">
        <f aca="false">IF(Q484=H484,"Match","Mismatch")</f>
        <v>Match</v>
      </c>
      <c r="S484" s="17" t="str">
        <f aca="false">IFERROR(INDEX(SubCatCat,MATCH(J484,SubCatName,0)),"Not found")</f>
        <v>Office Supplies</v>
      </c>
      <c r="T484" s="18" t="n">
        <f aca="false">IF(K484=0,0,N484/K484)</f>
        <v>0.28</v>
      </c>
      <c r="U484" s="17" t="str">
        <f aca="false">IF(N484&lt;0,"Loss",IF(T484&gt;=0.2,"High margin","Normal"))</f>
        <v>High margin</v>
      </c>
      <c r="V484" s="17" t="str">
        <f aca="false">IF(M484=0,"No discount",IF(M484&lt;=0.2,"Low",IF(M484&lt;=0.4,"Medium","High")))</f>
        <v>No discount</v>
      </c>
      <c r="W484" s="17" t="str">
        <f aca="false">IF(OR(B484="Same Day",B484="First Class"),"Fast","Standard")</f>
        <v>Standard</v>
      </c>
      <c r="X484" s="19" t="n">
        <f aca="false">ROUND(K484/L484,2)</f>
        <v>2.98</v>
      </c>
    </row>
    <row r="485" customFormat="false" ht="15" hidden="false" customHeight="false" outlineLevel="0" collapsed="false">
      <c r="A485" s="14" t="n">
        <v>484</v>
      </c>
      <c r="B485" s="14" t="s">
        <v>139</v>
      </c>
      <c r="C485" s="14" t="s">
        <v>7</v>
      </c>
      <c r="D485" s="14" t="s">
        <v>128</v>
      </c>
      <c r="E485" s="14" t="s">
        <v>184</v>
      </c>
      <c r="F485" s="14" t="s">
        <v>185</v>
      </c>
      <c r="G485" s="14" t="n">
        <v>10024</v>
      </c>
      <c r="H485" s="14" t="s">
        <v>166</v>
      </c>
      <c r="I485" s="14" t="s">
        <v>5</v>
      </c>
      <c r="J485" s="14" t="s">
        <v>168</v>
      </c>
      <c r="K485" s="15" t="n">
        <v>159.98</v>
      </c>
      <c r="L485" s="14" t="n">
        <v>2</v>
      </c>
      <c r="M485" s="16" t="n">
        <v>0</v>
      </c>
      <c r="N485" s="15" t="n">
        <v>57.5928</v>
      </c>
      <c r="O485" s="17" t="str">
        <f aca="false">UPPER(LEFT(F485,3))&amp;"-"&amp;G485</f>
        <v>NEW-10024</v>
      </c>
      <c r="P485" s="17" t="str">
        <f aca="false">PROPER(TRIM(E485))</f>
        <v>New York City</v>
      </c>
      <c r="Q485" s="17" t="str">
        <f aca="false">IFERROR(VLOOKUP(F485,Lookups!$A$2:$B$50,2,FALSE()),"Not found")</f>
        <v>East</v>
      </c>
      <c r="R485" s="17" t="str">
        <f aca="false">IF(Q485=H485,"Match","Mismatch")</f>
        <v>Match</v>
      </c>
      <c r="S485" s="17" t="str">
        <f aca="false">IFERROR(INDEX(SubCatCat,MATCH(J485,SubCatName,0)),"Not found")</f>
        <v>Technology</v>
      </c>
      <c r="T485" s="18" t="n">
        <f aca="false">IF(K485=0,0,N485/K485)</f>
        <v>0.36</v>
      </c>
      <c r="U485" s="17" t="str">
        <f aca="false">IF(N485&lt;0,"Loss",IF(T485&gt;=0.2,"High margin","Normal"))</f>
        <v>High margin</v>
      </c>
      <c r="V485" s="17" t="str">
        <f aca="false">IF(M485=0,"No discount",IF(M485&lt;=0.2,"Low",IF(M485&lt;=0.4,"Medium","High")))</f>
        <v>No discount</v>
      </c>
      <c r="W485" s="17" t="str">
        <f aca="false">IF(OR(B485="Same Day",B485="First Class"),"Fast","Standard")</f>
        <v>Standard</v>
      </c>
      <c r="X485" s="19" t="n">
        <f aca="false">ROUND(K485/L485,2)</f>
        <v>79.99</v>
      </c>
    </row>
    <row r="486" customFormat="false" ht="15" hidden="false" customHeight="false" outlineLevel="0" collapsed="false">
      <c r="A486" s="14" t="n">
        <v>485</v>
      </c>
      <c r="B486" s="14" t="s">
        <v>171</v>
      </c>
      <c r="C486" s="14" t="s">
        <v>153</v>
      </c>
      <c r="D486" s="14" t="s">
        <v>128</v>
      </c>
      <c r="E486" s="14" t="s">
        <v>136</v>
      </c>
      <c r="F486" s="14" t="s">
        <v>9</v>
      </c>
      <c r="G486" s="14" t="n">
        <v>90045</v>
      </c>
      <c r="H486" s="14" t="s">
        <v>3</v>
      </c>
      <c r="I486" s="14" t="s">
        <v>137</v>
      </c>
      <c r="J486" s="14" t="s">
        <v>138</v>
      </c>
      <c r="K486" s="15" t="n">
        <v>29.6</v>
      </c>
      <c r="L486" s="14" t="n">
        <v>2</v>
      </c>
      <c r="M486" s="16" t="n">
        <v>0</v>
      </c>
      <c r="N486" s="15" t="n">
        <v>14.8</v>
      </c>
      <c r="O486" s="17" t="str">
        <f aca="false">UPPER(LEFT(F486,3))&amp;"-"&amp;G486</f>
        <v>CAL-90045</v>
      </c>
      <c r="P486" s="17" t="str">
        <f aca="false">PROPER(TRIM(E486))</f>
        <v>Los Angeles</v>
      </c>
      <c r="Q486" s="17" t="str">
        <f aca="false">IFERROR(VLOOKUP(F486,Lookups!$A$2:$B$50,2,FALSE()),"Not found")</f>
        <v>West</v>
      </c>
      <c r="R486" s="17" t="str">
        <f aca="false">IF(Q486=H486,"Match","Mismatch")</f>
        <v>Match</v>
      </c>
      <c r="S486" s="17" t="str">
        <f aca="false">IFERROR(INDEX(SubCatCat,MATCH(J486,SubCatName,0)),"Not found")</f>
        <v>Office Supplies</v>
      </c>
      <c r="T486" s="18" t="n">
        <f aca="false">IF(K486=0,0,N486/K486)</f>
        <v>0.5</v>
      </c>
      <c r="U486" s="17" t="str">
        <f aca="false">IF(N486&lt;0,"Loss",IF(T486&gt;=0.2,"High margin","Normal"))</f>
        <v>High margin</v>
      </c>
      <c r="V486" s="17" t="str">
        <f aca="false">IF(M486=0,"No discount",IF(M486&lt;=0.2,"Low",IF(M486&lt;=0.4,"Medium","High")))</f>
        <v>No discount</v>
      </c>
      <c r="W486" s="17" t="str">
        <f aca="false">IF(OR(B486="Same Day",B486="First Class"),"Fast","Standard")</f>
        <v>Fast</v>
      </c>
      <c r="X486" s="19" t="n">
        <f aca="false">ROUND(K486/L486,2)</f>
        <v>14.8</v>
      </c>
    </row>
    <row r="487" customFormat="false" ht="15" hidden="false" customHeight="false" outlineLevel="0" collapsed="false">
      <c r="A487" s="14" t="n">
        <v>486</v>
      </c>
      <c r="B487" s="14" t="s">
        <v>171</v>
      </c>
      <c r="C487" s="14" t="s">
        <v>153</v>
      </c>
      <c r="D487" s="14" t="s">
        <v>128</v>
      </c>
      <c r="E487" s="14" t="s">
        <v>136</v>
      </c>
      <c r="F487" s="14" t="s">
        <v>9</v>
      </c>
      <c r="G487" s="14" t="n">
        <v>90045</v>
      </c>
      <c r="H487" s="14" t="s">
        <v>3</v>
      </c>
      <c r="I487" s="14" t="s">
        <v>132</v>
      </c>
      <c r="J487" s="14" t="s">
        <v>133</v>
      </c>
      <c r="K487" s="15" t="n">
        <v>514.165</v>
      </c>
      <c r="L487" s="14" t="n">
        <v>5</v>
      </c>
      <c r="M487" s="16" t="n">
        <v>0.15</v>
      </c>
      <c r="N487" s="15" t="n">
        <v>-30.245</v>
      </c>
      <c r="O487" s="17" t="str">
        <f aca="false">UPPER(LEFT(F487,3))&amp;"-"&amp;G487</f>
        <v>CAL-90045</v>
      </c>
      <c r="P487" s="17" t="str">
        <f aca="false">PROPER(TRIM(E487))</f>
        <v>Los Angeles</v>
      </c>
      <c r="Q487" s="17" t="str">
        <f aca="false">IFERROR(VLOOKUP(F487,Lookups!$A$2:$B$50,2,FALSE()),"Not found")</f>
        <v>West</v>
      </c>
      <c r="R487" s="17" t="str">
        <f aca="false">IF(Q487=H487,"Match","Mismatch")</f>
        <v>Match</v>
      </c>
      <c r="S487" s="17" t="str">
        <f aca="false">IFERROR(INDEX(SubCatCat,MATCH(J487,SubCatName,0)),"Not found")</f>
        <v>Furniture</v>
      </c>
      <c r="T487" s="18" t="n">
        <f aca="false">IF(K487=0,0,N487/K487)</f>
        <v>-0.0588235294117647</v>
      </c>
      <c r="U487" s="17" t="str">
        <f aca="false">IF(N487&lt;0,"Loss",IF(T487&gt;=0.2,"High margin","Normal"))</f>
        <v>Loss</v>
      </c>
      <c r="V487" s="17" t="str">
        <f aca="false">IF(M487=0,"No discount",IF(M487&lt;=0.2,"Low",IF(M487&lt;=0.4,"Medium","High")))</f>
        <v>Low</v>
      </c>
      <c r="W487" s="17" t="str">
        <f aca="false">IF(OR(B487="Same Day",B487="First Class"),"Fast","Standard")</f>
        <v>Fast</v>
      </c>
      <c r="X487" s="19" t="n">
        <f aca="false">ROUND(K487/L487,2)</f>
        <v>102.83</v>
      </c>
    </row>
    <row r="488" customFormat="false" ht="15" hidden="false" customHeight="false" outlineLevel="0" collapsed="false">
      <c r="A488" s="14" t="n">
        <v>487</v>
      </c>
      <c r="B488" s="14" t="s">
        <v>171</v>
      </c>
      <c r="C488" s="14" t="s">
        <v>153</v>
      </c>
      <c r="D488" s="14" t="s">
        <v>128</v>
      </c>
      <c r="E488" s="14" t="s">
        <v>136</v>
      </c>
      <c r="F488" s="14" t="s">
        <v>9</v>
      </c>
      <c r="G488" s="14" t="n">
        <v>90045</v>
      </c>
      <c r="H488" s="14" t="s">
        <v>3</v>
      </c>
      <c r="I488" s="14" t="s">
        <v>5</v>
      </c>
      <c r="J488" s="14" t="s">
        <v>11</v>
      </c>
      <c r="K488" s="15" t="n">
        <v>279.96</v>
      </c>
      <c r="L488" s="14" t="n">
        <v>5</v>
      </c>
      <c r="M488" s="16" t="n">
        <v>0.2</v>
      </c>
      <c r="N488" s="15" t="n">
        <v>17.4975</v>
      </c>
      <c r="O488" s="17" t="str">
        <f aca="false">UPPER(LEFT(F488,3))&amp;"-"&amp;G488</f>
        <v>CAL-90045</v>
      </c>
      <c r="P488" s="17" t="str">
        <f aca="false">PROPER(TRIM(E488))</f>
        <v>Los Angeles</v>
      </c>
      <c r="Q488" s="17" t="str">
        <f aca="false">IFERROR(VLOOKUP(F488,Lookups!$A$2:$B$50,2,FALSE()),"Not found")</f>
        <v>West</v>
      </c>
      <c r="R488" s="17" t="str">
        <f aca="false">IF(Q488=H488,"Match","Mismatch")</f>
        <v>Match</v>
      </c>
      <c r="S488" s="17" t="str">
        <f aca="false">IFERROR(INDEX(SubCatCat,MATCH(J488,SubCatName,0)),"Not found")</f>
        <v>Technology</v>
      </c>
      <c r="T488" s="18" t="n">
        <f aca="false">IF(K488=0,0,N488/K488)</f>
        <v>0.0625</v>
      </c>
      <c r="U488" s="17" t="str">
        <f aca="false">IF(N488&lt;0,"Loss",IF(T488&gt;=0.2,"High margin","Normal"))</f>
        <v>Normal</v>
      </c>
      <c r="V488" s="17" t="str">
        <f aca="false">IF(M488=0,"No discount",IF(M488&lt;=0.2,"Low",IF(M488&lt;=0.4,"Medium","High")))</f>
        <v>Low</v>
      </c>
      <c r="W488" s="17" t="str">
        <f aca="false">IF(OR(B488="Same Day",B488="First Class"),"Fast","Standard")</f>
        <v>Fast</v>
      </c>
      <c r="X488" s="19" t="n">
        <f aca="false">ROUND(K488/L488,2)</f>
        <v>55.99</v>
      </c>
    </row>
    <row r="489" customFormat="false" ht="15" hidden="false" customHeight="false" outlineLevel="0" collapsed="false">
      <c r="A489" s="14" t="n">
        <v>488</v>
      </c>
      <c r="B489" s="14" t="s">
        <v>171</v>
      </c>
      <c r="C489" s="14" t="s">
        <v>7</v>
      </c>
      <c r="D489" s="14" t="s">
        <v>128</v>
      </c>
      <c r="E489" s="14" t="s">
        <v>188</v>
      </c>
      <c r="F489" s="14" t="s">
        <v>174</v>
      </c>
      <c r="G489" s="14" t="n">
        <v>60610</v>
      </c>
      <c r="H489" s="14" t="s">
        <v>156</v>
      </c>
      <c r="I489" s="14" t="s">
        <v>5</v>
      </c>
      <c r="J489" s="14" t="s">
        <v>11</v>
      </c>
      <c r="K489" s="15" t="n">
        <v>2735.952</v>
      </c>
      <c r="L489" s="14" t="n">
        <v>6</v>
      </c>
      <c r="M489" s="16" t="n">
        <v>0.2</v>
      </c>
      <c r="N489" s="15" t="n">
        <v>341.994</v>
      </c>
      <c r="O489" s="17" t="str">
        <f aca="false">UPPER(LEFT(F489,3))&amp;"-"&amp;G489</f>
        <v>ILL-60610</v>
      </c>
      <c r="P489" s="17" t="str">
        <f aca="false">PROPER(TRIM(E489))</f>
        <v>Chicago</v>
      </c>
      <c r="Q489" s="17" t="str">
        <f aca="false">IFERROR(VLOOKUP(F489,Lookups!$A$2:$B$50,2,FALSE()),"Not found")</f>
        <v>Central</v>
      </c>
      <c r="R489" s="17" t="str">
        <f aca="false">IF(Q489=H489,"Match","Mismatch")</f>
        <v>Match</v>
      </c>
      <c r="S489" s="17" t="str">
        <f aca="false">IFERROR(INDEX(SubCatCat,MATCH(J489,SubCatName,0)),"Not found")</f>
        <v>Technology</v>
      </c>
      <c r="T489" s="18" t="n">
        <f aca="false">IF(K489=0,0,N489/K489)</f>
        <v>0.125</v>
      </c>
      <c r="U489" s="17" t="str">
        <f aca="false">IF(N489&lt;0,"Loss",IF(T489&gt;=0.2,"High margin","Normal"))</f>
        <v>Normal</v>
      </c>
      <c r="V489" s="17" t="str">
        <f aca="false">IF(M489=0,"No discount",IF(M489&lt;=0.2,"Low",IF(M489&lt;=0.4,"Medium","High")))</f>
        <v>Low</v>
      </c>
      <c r="W489" s="17" t="str">
        <f aca="false">IF(OR(B489="Same Day",B489="First Class"),"Fast","Standard")</f>
        <v>Fast</v>
      </c>
      <c r="X489" s="19" t="n">
        <f aca="false">ROUND(K489/L489,2)</f>
        <v>455.99</v>
      </c>
    </row>
    <row r="490" customFormat="false" ht="15" hidden="false" customHeight="false" outlineLevel="0" collapsed="false">
      <c r="A490" s="14" t="n">
        <v>489</v>
      </c>
      <c r="B490" s="14" t="s">
        <v>127</v>
      </c>
      <c r="C490" s="14" t="s">
        <v>153</v>
      </c>
      <c r="D490" s="14" t="s">
        <v>128</v>
      </c>
      <c r="E490" s="14" t="s">
        <v>304</v>
      </c>
      <c r="F490" s="14" t="s">
        <v>155</v>
      </c>
      <c r="G490" s="14" t="n">
        <v>77340</v>
      </c>
      <c r="H490" s="14" t="s">
        <v>156</v>
      </c>
      <c r="I490" s="14" t="s">
        <v>5</v>
      </c>
      <c r="J490" s="14" t="s">
        <v>11</v>
      </c>
      <c r="K490" s="15" t="n">
        <v>7.992</v>
      </c>
      <c r="L490" s="14" t="n">
        <v>1</v>
      </c>
      <c r="M490" s="16" t="n">
        <v>0.2</v>
      </c>
      <c r="N490" s="15" t="n">
        <v>0.5994</v>
      </c>
      <c r="O490" s="17" t="str">
        <f aca="false">UPPER(LEFT(F490,3))&amp;"-"&amp;G490</f>
        <v>TEX-77340</v>
      </c>
      <c r="P490" s="17" t="str">
        <f aca="false">PROPER(TRIM(E490))</f>
        <v>Huntsville</v>
      </c>
      <c r="Q490" s="17" t="str">
        <f aca="false">IFERROR(VLOOKUP(F490,Lookups!$A$2:$B$50,2,FALSE()),"Not found")</f>
        <v>Central</v>
      </c>
      <c r="R490" s="17" t="str">
        <f aca="false">IF(Q490=H490,"Match","Mismatch")</f>
        <v>Match</v>
      </c>
      <c r="S490" s="17" t="str">
        <f aca="false">IFERROR(INDEX(SubCatCat,MATCH(J490,SubCatName,0)),"Not found")</f>
        <v>Technology</v>
      </c>
      <c r="T490" s="18" t="n">
        <f aca="false">IF(K490=0,0,N490/K490)</f>
        <v>0.075</v>
      </c>
      <c r="U490" s="17" t="str">
        <f aca="false">IF(N490&lt;0,"Loss",IF(T490&gt;=0.2,"High margin","Normal"))</f>
        <v>Normal</v>
      </c>
      <c r="V490" s="17" t="str">
        <f aca="false">IF(M490=0,"No discount",IF(M490&lt;=0.2,"Low",IF(M490&lt;=0.4,"Medium","High")))</f>
        <v>Low</v>
      </c>
      <c r="W490" s="17" t="str">
        <f aca="false">IF(OR(B490="Same Day",B490="First Class"),"Fast","Standard")</f>
        <v>Standard</v>
      </c>
      <c r="X490" s="19" t="n">
        <f aca="false">ROUND(K490/L490,2)</f>
        <v>7.99</v>
      </c>
    </row>
    <row r="491" customFormat="false" ht="15" hidden="false" customHeight="false" outlineLevel="0" collapsed="false">
      <c r="A491" s="14" t="n">
        <v>490</v>
      </c>
      <c r="B491" s="14" t="s">
        <v>127</v>
      </c>
      <c r="C491" s="14" t="s">
        <v>153</v>
      </c>
      <c r="D491" s="14" t="s">
        <v>128</v>
      </c>
      <c r="E491" s="14" t="s">
        <v>304</v>
      </c>
      <c r="F491" s="14" t="s">
        <v>155</v>
      </c>
      <c r="G491" s="14" t="n">
        <v>77340</v>
      </c>
      <c r="H491" s="14" t="s">
        <v>156</v>
      </c>
      <c r="I491" s="14" t="s">
        <v>5</v>
      </c>
      <c r="J491" s="14" t="s">
        <v>168</v>
      </c>
      <c r="K491" s="15" t="n">
        <v>63.984</v>
      </c>
      <c r="L491" s="14" t="n">
        <v>2</v>
      </c>
      <c r="M491" s="16" t="n">
        <v>0.2</v>
      </c>
      <c r="N491" s="15" t="n">
        <v>10.3974</v>
      </c>
      <c r="O491" s="17" t="str">
        <f aca="false">UPPER(LEFT(F491,3))&amp;"-"&amp;G491</f>
        <v>TEX-77340</v>
      </c>
      <c r="P491" s="17" t="str">
        <f aca="false">PROPER(TRIM(E491))</f>
        <v>Huntsville</v>
      </c>
      <c r="Q491" s="17" t="str">
        <f aca="false">IFERROR(VLOOKUP(F491,Lookups!$A$2:$B$50,2,FALSE()),"Not found")</f>
        <v>Central</v>
      </c>
      <c r="R491" s="17" t="str">
        <f aca="false">IF(Q491=H491,"Match","Mismatch")</f>
        <v>Match</v>
      </c>
      <c r="S491" s="17" t="str">
        <f aca="false">IFERROR(INDEX(SubCatCat,MATCH(J491,SubCatName,0)),"Not found")</f>
        <v>Technology</v>
      </c>
      <c r="T491" s="18" t="n">
        <f aca="false">IF(K491=0,0,N491/K491)</f>
        <v>0.1625</v>
      </c>
      <c r="U491" s="17" t="str">
        <f aca="false">IF(N491&lt;0,"Loss",IF(T491&gt;=0.2,"High margin","Normal"))</f>
        <v>Normal</v>
      </c>
      <c r="V491" s="17" t="str">
        <f aca="false">IF(M491=0,"No discount",IF(M491&lt;=0.2,"Low",IF(M491&lt;=0.4,"Medium","High")))</f>
        <v>Low</v>
      </c>
      <c r="W491" s="17" t="str">
        <f aca="false">IF(OR(B491="Same Day",B491="First Class"),"Fast","Standard")</f>
        <v>Standard</v>
      </c>
      <c r="X491" s="19" t="n">
        <f aca="false">ROUND(K491/L491,2)</f>
        <v>31.99</v>
      </c>
    </row>
    <row r="492" customFormat="false" ht="15" hidden="false" customHeight="false" outlineLevel="0" collapsed="false">
      <c r="A492" s="14" t="n">
        <v>491</v>
      </c>
      <c r="B492" s="14" t="s">
        <v>127</v>
      </c>
      <c r="C492" s="14" t="s">
        <v>153</v>
      </c>
      <c r="D492" s="14" t="s">
        <v>128</v>
      </c>
      <c r="E492" s="14" t="s">
        <v>304</v>
      </c>
      <c r="F492" s="14" t="s">
        <v>155</v>
      </c>
      <c r="G492" s="14" t="n">
        <v>77340</v>
      </c>
      <c r="H492" s="14" t="s">
        <v>156</v>
      </c>
      <c r="I492" s="14" t="s">
        <v>137</v>
      </c>
      <c r="J492" s="14" t="s">
        <v>145</v>
      </c>
      <c r="K492" s="15" t="n">
        <v>70.368</v>
      </c>
      <c r="L492" s="14" t="n">
        <v>2</v>
      </c>
      <c r="M492" s="16" t="n">
        <v>0.2</v>
      </c>
      <c r="N492" s="15" t="n">
        <v>6.1572</v>
      </c>
      <c r="O492" s="17" t="str">
        <f aca="false">UPPER(LEFT(F492,3))&amp;"-"&amp;G492</f>
        <v>TEX-77340</v>
      </c>
      <c r="P492" s="17" t="str">
        <f aca="false">PROPER(TRIM(E492))</f>
        <v>Huntsville</v>
      </c>
      <c r="Q492" s="17" t="str">
        <f aca="false">IFERROR(VLOOKUP(F492,Lookups!$A$2:$B$50,2,FALSE()),"Not found")</f>
        <v>Central</v>
      </c>
      <c r="R492" s="17" t="str">
        <f aca="false">IF(Q492=H492,"Match","Mismatch")</f>
        <v>Match</v>
      </c>
      <c r="S492" s="17" t="str">
        <f aca="false">IFERROR(INDEX(SubCatCat,MATCH(J492,SubCatName,0)),"Not found")</f>
        <v>Office Supplies</v>
      </c>
      <c r="T492" s="18" t="n">
        <f aca="false">IF(K492=0,0,N492/K492)</f>
        <v>0.0875</v>
      </c>
      <c r="U492" s="17" t="str">
        <f aca="false">IF(N492&lt;0,"Loss",IF(T492&gt;=0.2,"High margin","Normal"))</f>
        <v>Normal</v>
      </c>
      <c r="V492" s="17" t="str">
        <f aca="false">IF(M492=0,"No discount",IF(M492&lt;=0.2,"Low",IF(M492&lt;=0.4,"Medium","High")))</f>
        <v>Low</v>
      </c>
      <c r="W492" s="17" t="str">
        <f aca="false">IF(OR(B492="Same Day",B492="First Class"),"Fast","Standard")</f>
        <v>Standard</v>
      </c>
      <c r="X492" s="19" t="n">
        <f aca="false">ROUND(K492/L492,2)</f>
        <v>35.18</v>
      </c>
    </row>
    <row r="493" customFormat="false" ht="15" hidden="false" customHeight="false" outlineLevel="0" collapsed="false">
      <c r="A493" s="14" t="n">
        <v>492</v>
      </c>
      <c r="B493" s="14" t="s">
        <v>139</v>
      </c>
      <c r="C493" s="14" t="s">
        <v>7</v>
      </c>
      <c r="D493" s="14" t="s">
        <v>128</v>
      </c>
      <c r="E493" s="14" t="s">
        <v>201</v>
      </c>
      <c r="F493" s="14" t="s">
        <v>185</v>
      </c>
      <c r="G493" s="14" t="n">
        <v>14609</v>
      </c>
      <c r="H493" s="14" t="s">
        <v>166</v>
      </c>
      <c r="I493" s="14" t="s">
        <v>137</v>
      </c>
      <c r="J493" s="14" t="s">
        <v>143</v>
      </c>
      <c r="K493" s="15" t="n">
        <v>449.15</v>
      </c>
      <c r="L493" s="14" t="n">
        <v>5</v>
      </c>
      <c r="M493" s="16" t="n">
        <v>0</v>
      </c>
      <c r="N493" s="15" t="n">
        <v>8.983</v>
      </c>
      <c r="O493" s="17" t="str">
        <f aca="false">UPPER(LEFT(F493,3))&amp;"-"&amp;G493</f>
        <v>NEW-14609</v>
      </c>
      <c r="P493" s="17" t="str">
        <f aca="false">PROPER(TRIM(E493))</f>
        <v>Rochester</v>
      </c>
      <c r="Q493" s="17" t="str">
        <f aca="false">IFERROR(VLOOKUP(F493,Lookups!$A$2:$B$50,2,FALSE()),"Not found")</f>
        <v>East</v>
      </c>
      <c r="R493" s="17" t="str">
        <f aca="false">IF(Q493=H493,"Match","Mismatch")</f>
        <v>Match</v>
      </c>
      <c r="S493" s="17" t="str">
        <f aca="false">IFERROR(INDEX(SubCatCat,MATCH(J493,SubCatName,0)),"Not found")</f>
        <v>Office Supplies</v>
      </c>
      <c r="T493" s="18" t="n">
        <f aca="false">IF(K493=0,0,N493/K493)</f>
        <v>0.02</v>
      </c>
      <c r="U493" s="17" t="str">
        <f aca="false">IF(N493&lt;0,"Loss",IF(T493&gt;=0.2,"High margin","Normal"))</f>
        <v>Normal</v>
      </c>
      <c r="V493" s="17" t="str">
        <f aca="false">IF(M493=0,"No discount",IF(M493&lt;=0.2,"Low",IF(M493&lt;=0.4,"Medium","High")))</f>
        <v>No discount</v>
      </c>
      <c r="W493" s="17" t="str">
        <f aca="false">IF(OR(B493="Same Day",B493="First Class"),"Fast","Standard")</f>
        <v>Standard</v>
      </c>
      <c r="X493" s="19" t="n">
        <f aca="false">ROUND(K493/L493,2)</f>
        <v>89.83</v>
      </c>
    </row>
    <row r="494" customFormat="false" ht="15" hidden="false" customHeight="false" outlineLevel="0" collapsed="false">
      <c r="A494" s="14" t="n">
        <v>493</v>
      </c>
      <c r="B494" s="14" t="s">
        <v>139</v>
      </c>
      <c r="C494" s="14" t="s">
        <v>7</v>
      </c>
      <c r="D494" s="14" t="s">
        <v>128</v>
      </c>
      <c r="E494" s="14" t="s">
        <v>201</v>
      </c>
      <c r="F494" s="14" t="s">
        <v>185</v>
      </c>
      <c r="G494" s="14" t="n">
        <v>14609</v>
      </c>
      <c r="H494" s="14" t="s">
        <v>166</v>
      </c>
      <c r="I494" s="14" t="s">
        <v>137</v>
      </c>
      <c r="J494" s="14" t="s">
        <v>169</v>
      </c>
      <c r="K494" s="15" t="n">
        <v>11.07</v>
      </c>
      <c r="L494" s="14" t="n">
        <v>3</v>
      </c>
      <c r="M494" s="16" t="n">
        <v>0</v>
      </c>
      <c r="N494" s="15" t="n">
        <v>5.0922</v>
      </c>
      <c r="O494" s="17" t="str">
        <f aca="false">UPPER(LEFT(F494,3))&amp;"-"&amp;G494</f>
        <v>NEW-14609</v>
      </c>
      <c r="P494" s="17" t="str">
        <f aca="false">PROPER(TRIM(E494))</f>
        <v>Rochester</v>
      </c>
      <c r="Q494" s="17" t="str">
        <f aca="false">IFERROR(VLOOKUP(F494,Lookups!$A$2:$B$50,2,FALSE()),"Not found")</f>
        <v>East</v>
      </c>
      <c r="R494" s="17" t="str">
        <f aca="false">IF(Q494=H494,"Match","Mismatch")</f>
        <v>Match</v>
      </c>
      <c r="S494" s="17" t="str">
        <f aca="false">IFERROR(INDEX(SubCatCat,MATCH(J494,SubCatName,0)),"Not found")</f>
        <v>Office Supplies</v>
      </c>
      <c r="T494" s="18" t="n">
        <f aca="false">IF(K494=0,0,N494/K494)</f>
        <v>0.46</v>
      </c>
      <c r="U494" s="17" t="str">
        <f aca="false">IF(N494&lt;0,"Loss",IF(T494&gt;=0.2,"High margin","Normal"))</f>
        <v>High margin</v>
      </c>
      <c r="V494" s="17" t="str">
        <f aca="false">IF(M494=0,"No discount",IF(M494&lt;=0.2,"Low",IF(M494&lt;=0.4,"Medium","High")))</f>
        <v>No discount</v>
      </c>
      <c r="W494" s="17" t="str">
        <f aca="false">IF(OR(B494="Same Day",B494="First Class"),"Fast","Standard")</f>
        <v>Standard</v>
      </c>
      <c r="X494" s="19" t="n">
        <f aca="false">ROUND(K494/L494,2)</f>
        <v>3.69</v>
      </c>
    </row>
    <row r="495" customFormat="false" ht="15" hidden="false" customHeight="false" outlineLevel="0" collapsed="false">
      <c r="A495" s="14" t="n">
        <v>494</v>
      </c>
      <c r="B495" s="14" t="s">
        <v>139</v>
      </c>
      <c r="C495" s="14" t="s">
        <v>7</v>
      </c>
      <c r="D495" s="14" t="s">
        <v>128</v>
      </c>
      <c r="E495" s="14" t="s">
        <v>151</v>
      </c>
      <c r="F495" s="14" t="s">
        <v>152</v>
      </c>
      <c r="G495" s="14" t="n">
        <v>98115</v>
      </c>
      <c r="H495" s="14" t="s">
        <v>3</v>
      </c>
      <c r="I495" s="14" t="s">
        <v>5</v>
      </c>
      <c r="J495" s="14" t="s">
        <v>168</v>
      </c>
      <c r="K495" s="15" t="n">
        <v>93.98</v>
      </c>
      <c r="L495" s="14" t="n">
        <v>2</v>
      </c>
      <c r="M495" s="16" t="n">
        <v>0</v>
      </c>
      <c r="N495" s="15" t="n">
        <v>13.1572</v>
      </c>
      <c r="O495" s="17" t="str">
        <f aca="false">UPPER(LEFT(F495,3))&amp;"-"&amp;G495</f>
        <v>WAS-98115</v>
      </c>
      <c r="P495" s="17" t="str">
        <f aca="false">PROPER(TRIM(E495))</f>
        <v>Seattle</v>
      </c>
      <c r="Q495" s="17" t="str">
        <f aca="false">IFERROR(VLOOKUP(F495,Lookups!$A$2:$B$50,2,FALSE()),"Not found")</f>
        <v>West</v>
      </c>
      <c r="R495" s="17" t="str">
        <f aca="false">IF(Q495=H495,"Match","Mismatch")</f>
        <v>Match</v>
      </c>
      <c r="S495" s="17" t="str">
        <f aca="false">IFERROR(INDEX(SubCatCat,MATCH(J495,SubCatName,0)),"Not found")</f>
        <v>Technology</v>
      </c>
      <c r="T495" s="18" t="n">
        <f aca="false">IF(K495=0,0,N495/K495)</f>
        <v>0.14</v>
      </c>
      <c r="U495" s="17" t="str">
        <f aca="false">IF(N495&lt;0,"Loss",IF(T495&gt;=0.2,"High margin","Normal"))</f>
        <v>Normal</v>
      </c>
      <c r="V495" s="17" t="str">
        <f aca="false">IF(M495=0,"No discount",IF(M495&lt;=0.2,"Low",IF(M495&lt;=0.4,"Medium","High")))</f>
        <v>No discount</v>
      </c>
      <c r="W495" s="17" t="str">
        <f aca="false">IF(OR(B495="Same Day",B495="First Class"),"Fast","Standard")</f>
        <v>Standard</v>
      </c>
      <c r="X495" s="19" t="n">
        <f aca="false">ROUND(K495/L495,2)</f>
        <v>46.99</v>
      </c>
    </row>
    <row r="496" customFormat="false" ht="15" hidden="false" customHeight="false" outlineLevel="0" collapsed="false">
      <c r="A496" s="14" t="n">
        <v>495</v>
      </c>
      <c r="B496" s="14" t="s">
        <v>127</v>
      </c>
      <c r="C496" s="14" t="s">
        <v>7</v>
      </c>
      <c r="D496" s="14" t="s">
        <v>128</v>
      </c>
      <c r="E496" s="14" t="s">
        <v>194</v>
      </c>
      <c r="F496" s="14" t="s">
        <v>195</v>
      </c>
      <c r="G496" s="14" t="n">
        <v>38109</v>
      </c>
      <c r="H496" s="14" t="s">
        <v>131</v>
      </c>
      <c r="I496" s="14" t="s">
        <v>132</v>
      </c>
      <c r="J496" s="14" t="s">
        <v>142</v>
      </c>
      <c r="K496" s="15" t="n">
        <v>189.882</v>
      </c>
      <c r="L496" s="14" t="n">
        <v>3</v>
      </c>
      <c r="M496" s="16" t="n">
        <v>0.4</v>
      </c>
      <c r="N496" s="15" t="n">
        <v>-94.941</v>
      </c>
      <c r="O496" s="17" t="str">
        <f aca="false">UPPER(LEFT(F496,3))&amp;"-"&amp;G496</f>
        <v>TEN-38109</v>
      </c>
      <c r="P496" s="17" t="str">
        <f aca="false">PROPER(TRIM(E496))</f>
        <v>Memphis</v>
      </c>
      <c r="Q496" s="17" t="str">
        <f aca="false">IFERROR(VLOOKUP(F496,Lookups!$A$2:$B$50,2,FALSE()),"Not found")</f>
        <v>South</v>
      </c>
      <c r="R496" s="17" t="str">
        <f aca="false">IF(Q496=H496,"Match","Mismatch")</f>
        <v>Match</v>
      </c>
      <c r="S496" s="17" t="str">
        <f aca="false">IFERROR(INDEX(SubCatCat,MATCH(J496,SubCatName,0)),"Not found")</f>
        <v>Furniture</v>
      </c>
      <c r="T496" s="18" t="n">
        <f aca="false">IF(K496=0,0,N496/K496)</f>
        <v>-0.5</v>
      </c>
      <c r="U496" s="17" t="str">
        <f aca="false">IF(N496&lt;0,"Loss",IF(T496&gt;=0.2,"High margin","Normal"))</f>
        <v>Loss</v>
      </c>
      <c r="V496" s="17" t="str">
        <f aca="false">IF(M496=0,"No discount",IF(M496&lt;=0.2,"Low",IF(M496&lt;=0.4,"Medium","High")))</f>
        <v>Medium</v>
      </c>
      <c r="W496" s="17" t="str">
        <f aca="false">IF(OR(B496="Same Day",B496="First Class"),"Fast","Standard")</f>
        <v>Standard</v>
      </c>
      <c r="X496" s="19" t="n">
        <f aca="false">ROUND(K496/L496,2)</f>
        <v>63.29</v>
      </c>
    </row>
    <row r="497" customFormat="false" ht="15" hidden="false" customHeight="false" outlineLevel="0" collapsed="false">
      <c r="A497" s="14" t="n">
        <v>496</v>
      </c>
      <c r="B497" s="14" t="s">
        <v>139</v>
      </c>
      <c r="C497" s="14" t="s">
        <v>7</v>
      </c>
      <c r="D497" s="14" t="s">
        <v>128</v>
      </c>
      <c r="E497" s="14" t="s">
        <v>305</v>
      </c>
      <c r="F497" s="14" t="s">
        <v>306</v>
      </c>
      <c r="G497" s="14" t="n">
        <v>72701</v>
      </c>
      <c r="H497" s="14" t="s">
        <v>131</v>
      </c>
      <c r="I497" s="14" t="s">
        <v>137</v>
      </c>
      <c r="J497" s="14" t="s">
        <v>169</v>
      </c>
      <c r="K497" s="15" t="n">
        <v>105.42</v>
      </c>
      <c r="L497" s="14" t="n">
        <v>2</v>
      </c>
      <c r="M497" s="16" t="n">
        <v>0</v>
      </c>
      <c r="N497" s="15" t="n">
        <v>51.6558</v>
      </c>
      <c r="O497" s="17" t="str">
        <f aca="false">UPPER(LEFT(F497,3))&amp;"-"&amp;G497</f>
        <v>ARK-72701</v>
      </c>
      <c r="P497" s="17" t="str">
        <f aca="false">PROPER(TRIM(E497))</f>
        <v>Fayetteville</v>
      </c>
      <c r="Q497" s="17" t="str">
        <f aca="false">IFERROR(VLOOKUP(F497,Lookups!$A$2:$B$50,2,FALSE()),"Not found")</f>
        <v>South</v>
      </c>
      <c r="R497" s="17" t="str">
        <f aca="false">IF(Q497=H497,"Match","Mismatch")</f>
        <v>Match</v>
      </c>
      <c r="S497" s="17" t="str">
        <f aca="false">IFERROR(INDEX(SubCatCat,MATCH(J497,SubCatName,0)),"Not found")</f>
        <v>Office Supplies</v>
      </c>
      <c r="T497" s="18" t="n">
        <f aca="false">IF(K497=0,0,N497/K497)</f>
        <v>0.49</v>
      </c>
      <c r="U497" s="17" t="str">
        <f aca="false">IF(N497&lt;0,"Loss",IF(T497&gt;=0.2,"High margin","Normal"))</f>
        <v>High margin</v>
      </c>
      <c r="V497" s="17" t="str">
        <f aca="false">IF(M497=0,"No discount",IF(M497&lt;=0.2,"Low",IF(M497&lt;=0.4,"Medium","High")))</f>
        <v>No discount</v>
      </c>
      <c r="W497" s="17" t="str">
        <f aca="false">IF(OR(B497="Same Day",B497="First Class"),"Fast","Standard")</f>
        <v>Standard</v>
      </c>
      <c r="X497" s="19" t="n">
        <f aca="false">ROUND(K497/L497,2)</f>
        <v>52.71</v>
      </c>
    </row>
    <row r="498" customFormat="false" ht="15" hidden="false" customHeight="false" outlineLevel="0" collapsed="false">
      <c r="A498" s="14" t="n">
        <v>497</v>
      </c>
      <c r="B498" s="14" t="s">
        <v>139</v>
      </c>
      <c r="C498" s="14" t="s">
        <v>7</v>
      </c>
      <c r="D498" s="14" t="s">
        <v>128</v>
      </c>
      <c r="E498" s="14" t="s">
        <v>307</v>
      </c>
      <c r="F498" s="14" t="s">
        <v>9</v>
      </c>
      <c r="G498" s="14" t="n">
        <v>92627</v>
      </c>
      <c r="H498" s="14" t="s">
        <v>3</v>
      </c>
      <c r="I498" s="14" t="s">
        <v>137</v>
      </c>
      <c r="J498" s="14" t="s">
        <v>146</v>
      </c>
      <c r="K498" s="15" t="n">
        <v>119.616</v>
      </c>
      <c r="L498" s="14" t="n">
        <v>8</v>
      </c>
      <c r="M498" s="16" t="n">
        <v>0.2</v>
      </c>
      <c r="N498" s="15" t="n">
        <v>40.3704</v>
      </c>
      <c r="O498" s="17" t="str">
        <f aca="false">UPPER(LEFT(F498,3))&amp;"-"&amp;G498</f>
        <v>CAL-92627</v>
      </c>
      <c r="P498" s="17" t="str">
        <f aca="false">PROPER(TRIM(E498))</f>
        <v>Costa Mesa</v>
      </c>
      <c r="Q498" s="17" t="str">
        <f aca="false">IFERROR(VLOOKUP(F498,Lookups!$A$2:$B$50,2,FALSE()),"Not found")</f>
        <v>West</v>
      </c>
      <c r="R498" s="17" t="str">
        <f aca="false">IF(Q498=H498,"Match","Mismatch")</f>
        <v>Match</v>
      </c>
      <c r="S498" s="17" t="str">
        <f aca="false">IFERROR(INDEX(SubCatCat,MATCH(J498,SubCatName,0)),"Not found")</f>
        <v>Office Supplies</v>
      </c>
      <c r="T498" s="18" t="n">
        <f aca="false">IF(K498=0,0,N498/K498)</f>
        <v>0.3375</v>
      </c>
      <c r="U498" s="17" t="str">
        <f aca="false">IF(N498&lt;0,"Loss",IF(T498&gt;=0.2,"High margin","Normal"))</f>
        <v>High margin</v>
      </c>
      <c r="V498" s="17" t="str">
        <f aca="false">IF(M498=0,"No discount",IF(M498&lt;=0.2,"Low",IF(M498&lt;=0.4,"Medium","High")))</f>
        <v>Low</v>
      </c>
      <c r="W498" s="17" t="str">
        <f aca="false">IF(OR(B498="Same Day",B498="First Class"),"Fast","Standard")</f>
        <v>Standard</v>
      </c>
      <c r="X498" s="19" t="n">
        <f aca="false">ROUND(K498/L498,2)</f>
        <v>14.95</v>
      </c>
    </row>
    <row r="499" customFormat="false" ht="15" hidden="false" customHeight="false" outlineLevel="0" collapsed="false">
      <c r="A499" s="14" t="n">
        <v>498</v>
      </c>
      <c r="B499" s="14" t="s">
        <v>139</v>
      </c>
      <c r="C499" s="14" t="s">
        <v>7</v>
      </c>
      <c r="D499" s="14" t="s">
        <v>128</v>
      </c>
      <c r="E499" s="14" t="s">
        <v>307</v>
      </c>
      <c r="F499" s="14" t="s">
        <v>9</v>
      </c>
      <c r="G499" s="14" t="n">
        <v>92627</v>
      </c>
      <c r="H499" s="14" t="s">
        <v>3</v>
      </c>
      <c r="I499" s="14" t="s">
        <v>132</v>
      </c>
      <c r="J499" s="14" t="s">
        <v>144</v>
      </c>
      <c r="K499" s="15" t="n">
        <v>255.76</v>
      </c>
      <c r="L499" s="14" t="n">
        <v>4</v>
      </c>
      <c r="M499" s="16" t="n">
        <v>0</v>
      </c>
      <c r="N499" s="15" t="n">
        <v>81.8432</v>
      </c>
      <c r="O499" s="17" t="str">
        <f aca="false">UPPER(LEFT(F499,3))&amp;"-"&amp;G499</f>
        <v>CAL-92627</v>
      </c>
      <c r="P499" s="17" t="str">
        <f aca="false">PROPER(TRIM(E499))</f>
        <v>Costa Mesa</v>
      </c>
      <c r="Q499" s="17" t="str">
        <f aca="false">IFERROR(VLOOKUP(F499,Lookups!$A$2:$B$50,2,FALSE()),"Not found")</f>
        <v>West</v>
      </c>
      <c r="R499" s="17" t="str">
        <f aca="false">IF(Q499=H499,"Match","Mismatch")</f>
        <v>Match</v>
      </c>
      <c r="S499" s="17" t="str">
        <f aca="false">IFERROR(INDEX(SubCatCat,MATCH(J499,SubCatName,0)),"Not found")</f>
        <v>Furniture</v>
      </c>
      <c r="T499" s="18" t="n">
        <f aca="false">IF(K499=0,0,N499/K499)</f>
        <v>0.32</v>
      </c>
      <c r="U499" s="17" t="str">
        <f aca="false">IF(N499&lt;0,"Loss",IF(T499&gt;=0.2,"High margin","Normal"))</f>
        <v>High margin</v>
      </c>
      <c r="V499" s="17" t="str">
        <f aca="false">IF(M499=0,"No discount",IF(M499&lt;=0.2,"Low",IF(M499&lt;=0.4,"Medium","High")))</f>
        <v>No discount</v>
      </c>
      <c r="W499" s="17" t="str">
        <f aca="false">IF(OR(B499="Same Day",B499="First Class"),"Fast","Standard")</f>
        <v>Standard</v>
      </c>
      <c r="X499" s="19" t="n">
        <f aca="false">ROUND(K499/L499,2)</f>
        <v>63.94</v>
      </c>
    </row>
    <row r="500" customFormat="false" ht="15" hidden="false" customHeight="false" outlineLevel="0" collapsed="false">
      <c r="A500" s="14" t="n">
        <v>499</v>
      </c>
      <c r="B500" s="14" t="s">
        <v>139</v>
      </c>
      <c r="C500" s="14" t="s">
        <v>7</v>
      </c>
      <c r="D500" s="14" t="s">
        <v>128</v>
      </c>
      <c r="E500" s="14" t="s">
        <v>307</v>
      </c>
      <c r="F500" s="14" t="s">
        <v>9</v>
      </c>
      <c r="G500" s="14" t="n">
        <v>92627</v>
      </c>
      <c r="H500" s="14" t="s">
        <v>3</v>
      </c>
      <c r="I500" s="14" t="s">
        <v>132</v>
      </c>
      <c r="J500" s="14" t="s">
        <v>134</v>
      </c>
      <c r="K500" s="15" t="n">
        <v>241.568</v>
      </c>
      <c r="L500" s="14" t="n">
        <v>2</v>
      </c>
      <c r="M500" s="16" t="n">
        <v>0.2</v>
      </c>
      <c r="N500" s="15" t="n">
        <v>18.1176</v>
      </c>
      <c r="O500" s="17" t="str">
        <f aca="false">UPPER(LEFT(F500,3))&amp;"-"&amp;G500</f>
        <v>CAL-92627</v>
      </c>
      <c r="P500" s="17" t="str">
        <f aca="false">PROPER(TRIM(E500))</f>
        <v>Costa Mesa</v>
      </c>
      <c r="Q500" s="17" t="str">
        <f aca="false">IFERROR(VLOOKUP(F500,Lookups!$A$2:$B$50,2,FALSE()),"Not found")</f>
        <v>West</v>
      </c>
      <c r="R500" s="17" t="str">
        <f aca="false">IF(Q500=H500,"Match","Mismatch")</f>
        <v>Match</v>
      </c>
      <c r="S500" s="17" t="str">
        <f aca="false">IFERROR(INDEX(SubCatCat,MATCH(J500,SubCatName,0)),"Not found")</f>
        <v>Furniture</v>
      </c>
      <c r="T500" s="18" t="n">
        <f aca="false">IF(K500=0,0,N500/K500)</f>
        <v>0.075</v>
      </c>
      <c r="U500" s="17" t="str">
        <f aca="false">IF(N500&lt;0,"Loss",IF(T500&gt;=0.2,"High margin","Normal"))</f>
        <v>Normal</v>
      </c>
      <c r="V500" s="17" t="str">
        <f aca="false">IF(M500=0,"No discount",IF(M500&lt;=0.2,"Low",IF(M500&lt;=0.4,"Medium","High")))</f>
        <v>Low</v>
      </c>
      <c r="W500" s="17" t="str">
        <f aca="false">IF(OR(B500="Same Day",B500="First Class"),"Fast","Standard")</f>
        <v>Standard</v>
      </c>
      <c r="X500" s="19" t="n">
        <f aca="false">ROUND(K500/L500,2)</f>
        <v>120.78</v>
      </c>
    </row>
    <row r="501" customFormat="false" ht="15" hidden="false" customHeight="false" outlineLevel="0" collapsed="false">
      <c r="A501" s="14" t="n">
        <v>500</v>
      </c>
      <c r="B501" s="14" t="s">
        <v>139</v>
      </c>
      <c r="C501" s="14" t="s">
        <v>7</v>
      </c>
      <c r="D501" s="14" t="s">
        <v>128</v>
      </c>
      <c r="E501" s="14" t="s">
        <v>307</v>
      </c>
      <c r="F501" s="14" t="s">
        <v>9</v>
      </c>
      <c r="G501" s="14" t="n">
        <v>92627</v>
      </c>
      <c r="H501" s="14" t="s">
        <v>3</v>
      </c>
      <c r="I501" s="14" t="s">
        <v>132</v>
      </c>
      <c r="J501" s="14" t="s">
        <v>144</v>
      </c>
      <c r="K501" s="15" t="n">
        <v>69.3</v>
      </c>
      <c r="L501" s="14" t="n">
        <v>9</v>
      </c>
      <c r="M501" s="16" t="n">
        <v>0</v>
      </c>
      <c r="N501" s="15" t="n">
        <v>22.869</v>
      </c>
      <c r="O501" s="17" t="str">
        <f aca="false">UPPER(LEFT(F501,3))&amp;"-"&amp;G501</f>
        <v>CAL-92627</v>
      </c>
      <c r="P501" s="17" t="str">
        <f aca="false">PROPER(TRIM(E501))</f>
        <v>Costa Mesa</v>
      </c>
      <c r="Q501" s="17" t="str">
        <f aca="false">IFERROR(VLOOKUP(F501,Lookups!$A$2:$B$50,2,FALSE()),"Not found")</f>
        <v>West</v>
      </c>
      <c r="R501" s="17" t="str">
        <f aca="false">IF(Q501=H501,"Match","Mismatch")</f>
        <v>Match</v>
      </c>
      <c r="S501" s="17" t="str">
        <f aca="false">IFERROR(INDEX(SubCatCat,MATCH(J501,SubCatName,0)),"Not found")</f>
        <v>Furniture</v>
      </c>
      <c r="T501" s="18" t="n">
        <f aca="false">IF(K501=0,0,N501/K501)</f>
        <v>0.33</v>
      </c>
      <c r="U501" s="17" t="str">
        <f aca="false">IF(N501&lt;0,"Loss",IF(T501&gt;=0.2,"High margin","Normal"))</f>
        <v>High margin</v>
      </c>
      <c r="V501" s="17" t="str">
        <f aca="false">IF(M501=0,"No discount",IF(M501&lt;=0.2,"Low",IF(M501&lt;=0.4,"Medium","High")))</f>
        <v>No discount</v>
      </c>
      <c r="W501" s="17" t="str">
        <f aca="false">IF(OR(B501="Same Day",B501="First Class"),"Fast","Standard")</f>
        <v>Standard</v>
      </c>
      <c r="X501" s="19" t="n">
        <f aca="false">ROUND(K501/L501,2)</f>
        <v>7.7</v>
      </c>
    </row>
  </sheetData>
  <autoFilter ref="A1:X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3" t="s">
        <v>108</v>
      </c>
      <c r="B1" s="13" t="s">
        <v>110</v>
      </c>
      <c r="D1" s="13" t="s">
        <v>112</v>
      </c>
      <c r="E1" s="13" t="s">
        <v>111</v>
      </c>
      <c r="G1" s="2" t="s">
        <v>308</v>
      </c>
    </row>
    <row r="2" customFormat="false" ht="15" hidden="false" customHeight="false" outlineLevel="0" collapsed="false">
      <c r="A2" s="14" t="s">
        <v>197</v>
      </c>
      <c r="B2" s="14" t="s">
        <v>131</v>
      </c>
      <c r="D2" s="14" t="s">
        <v>168</v>
      </c>
      <c r="E2" s="14" t="s">
        <v>5</v>
      </c>
    </row>
    <row r="3" customFormat="false" ht="15" hidden="false" customHeight="false" outlineLevel="0" collapsed="false">
      <c r="A3" s="14" t="s">
        <v>190</v>
      </c>
      <c r="B3" s="14" t="s">
        <v>3</v>
      </c>
      <c r="D3" s="14" t="s">
        <v>147</v>
      </c>
      <c r="E3" s="14" t="s">
        <v>137</v>
      </c>
    </row>
    <row r="4" customFormat="false" ht="15" hidden="false" customHeight="false" outlineLevel="0" collapsed="false">
      <c r="A4" s="14" t="s">
        <v>306</v>
      </c>
      <c r="B4" s="14" t="s">
        <v>131</v>
      </c>
      <c r="D4" s="14" t="s">
        <v>145</v>
      </c>
      <c r="E4" s="14" t="s">
        <v>137</v>
      </c>
    </row>
    <row r="5" customFormat="false" ht="15" hidden="false" customHeight="false" outlineLevel="0" collapsed="false">
      <c r="A5" s="14" t="s">
        <v>9</v>
      </c>
      <c r="B5" s="14" t="s">
        <v>3</v>
      </c>
      <c r="D5" s="14" t="s">
        <v>146</v>
      </c>
      <c r="E5" s="14" t="s">
        <v>137</v>
      </c>
    </row>
    <row r="6" customFormat="false" ht="15" hidden="false" customHeight="false" outlineLevel="0" collapsed="false">
      <c r="A6" s="14" t="s">
        <v>207</v>
      </c>
      <c r="B6" s="14" t="s">
        <v>3</v>
      </c>
      <c r="D6" s="14" t="s">
        <v>133</v>
      </c>
      <c r="E6" s="14" t="s">
        <v>132</v>
      </c>
    </row>
    <row r="7" customFormat="false" ht="15" hidden="false" customHeight="false" outlineLevel="0" collapsed="false">
      <c r="A7" s="14" t="s">
        <v>236</v>
      </c>
      <c r="B7" s="14" t="s">
        <v>166</v>
      </c>
      <c r="D7" s="14" t="s">
        <v>134</v>
      </c>
      <c r="E7" s="14" t="s">
        <v>132</v>
      </c>
    </row>
    <row r="8" customFormat="false" ht="15" hidden="false" customHeight="false" outlineLevel="0" collapsed="false">
      <c r="A8" s="14" t="s">
        <v>181</v>
      </c>
      <c r="B8" s="14" t="s">
        <v>166</v>
      </c>
      <c r="D8" s="14" t="s">
        <v>271</v>
      </c>
      <c r="E8" s="14" t="s">
        <v>5</v>
      </c>
    </row>
    <row r="9" customFormat="false" ht="15" hidden="false" customHeight="false" outlineLevel="0" collapsed="false">
      <c r="A9" s="14" t="s">
        <v>309</v>
      </c>
      <c r="B9" s="14" t="s">
        <v>166</v>
      </c>
      <c r="D9" s="14" t="s">
        <v>169</v>
      </c>
      <c r="E9" s="14" t="s">
        <v>137</v>
      </c>
    </row>
    <row r="10" customFormat="false" ht="15" hidden="false" customHeight="false" outlineLevel="0" collapsed="false">
      <c r="A10" s="14" t="s">
        <v>141</v>
      </c>
      <c r="B10" s="14" t="s">
        <v>131</v>
      </c>
      <c r="D10" s="14" t="s">
        <v>186</v>
      </c>
      <c r="E10" s="14" t="s">
        <v>137</v>
      </c>
    </row>
    <row r="11" customFormat="false" ht="15" hidden="false" customHeight="false" outlineLevel="0" collapsed="false">
      <c r="A11" s="14" t="s">
        <v>276</v>
      </c>
      <c r="B11" s="14" t="s">
        <v>131</v>
      </c>
      <c r="D11" s="14" t="s">
        <v>144</v>
      </c>
      <c r="E11" s="14" t="s">
        <v>132</v>
      </c>
    </row>
    <row r="12" customFormat="false" ht="15" hidden="false" customHeight="false" outlineLevel="0" collapsed="false">
      <c r="A12" s="14" t="s">
        <v>310</v>
      </c>
      <c r="B12" s="14" t="s">
        <v>3</v>
      </c>
      <c r="D12" s="14" t="s">
        <v>138</v>
      </c>
      <c r="E12" s="14" t="s">
        <v>137</v>
      </c>
    </row>
    <row r="13" customFormat="false" ht="15" hidden="false" customHeight="false" outlineLevel="0" collapsed="false">
      <c r="A13" s="14" t="s">
        <v>174</v>
      </c>
      <c r="B13" s="14" t="s">
        <v>156</v>
      </c>
      <c r="D13" s="14" t="s">
        <v>232</v>
      </c>
      <c r="E13" s="14" t="s">
        <v>5</v>
      </c>
    </row>
    <row r="14" customFormat="false" ht="15" hidden="false" customHeight="false" outlineLevel="0" collapsed="false">
      <c r="A14" s="14" t="s">
        <v>183</v>
      </c>
      <c r="B14" s="14" t="s">
        <v>156</v>
      </c>
      <c r="D14" s="14" t="s">
        <v>150</v>
      </c>
      <c r="E14" s="14" t="s">
        <v>137</v>
      </c>
    </row>
    <row r="15" customFormat="false" ht="15" hidden="false" customHeight="false" outlineLevel="0" collapsed="false">
      <c r="A15" s="14" t="s">
        <v>211</v>
      </c>
      <c r="B15" s="14" t="s">
        <v>156</v>
      </c>
      <c r="D15" s="14" t="s">
        <v>11</v>
      </c>
      <c r="E15" s="14" t="s">
        <v>5</v>
      </c>
    </row>
    <row r="16" customFormat="false" ht="15" hidden="false" customHeight="false" outlineLevel="0" collapsed="false">
      <c r="A16" s="14" t="s">
        <v>311</v>
      </c>
      <c r="B16" s="14" t="s">
        <v>156</v>
      </c>
      <c r="D16" s="14" t="s">
        <v>143</v>
      </c>
      <c r="E16" s="14" t="s">
        <v>137</v>
      </c>
    </row>
    <row r="17" customFormat="false" ht="15" hidden="false" customHeight="false" outlineLevel="0" collapsed="false">
      <c r="A17" s="14" t="s">
        <v>130</v>
      </c>
      <c r="B17" s="14" t="s">
        <v>131</v>
      </c>
      <c r="D17" s="14" t="s">
        <v>219</v>
      </c>
      <c r="E17" s="14" t="s">
        <v>137</v>
      </c>
    </row>
    <row r="18" customFormat="false" ht="15" hidden="false" customHeight="false" outlineLevel="0" collapsed="false">
      <c r="A18" s="14" t="s">
        <v>234</v>
      </c>
      <c r="B18" s="14" t="s">
        <v>131</v>
      </c>
      <c r="D18" s="14" t="s">
        <v>142</v>
      </c>
      <c r="E18" s="14" t="s">
        <v>132</v>
      </c>
    </row>
    <row r="19" customFormat="false" ht="15" hidden="false" customHeight="false" outlineLevel="0" collapsed="false">
      <c r="A19" s="14" t="s">
        <v>312</v>
      </c>
      <c r="B19" s="14" t="s">
        <v>166</v>
      </c>
    </row>
    <row r="20" customFormat="false" ht="15" hidden="false" customHeight="false" outlineLevel="0" collapsed="false">
      <c r="A20" s="14" t="s">
        <v>313</v>
      </c>
      <c r="B20" s="14" t="s">
        <v>166</v>
      </c>
    </row>
    <row r="21" customFormat="false" ht="15" hidden="false" customHeight="false" outlineLevel="0" collapsed="false">
      <c r="A21" s="14" t="s">
        <v>275</v>
      </c>
      <c r="B21" s="14" t="s">
        <v>166</v>
      </c>
    </row>
    <row r="22" customFormat="false" ht="15" hidden="false" customHeight="false" outlineLevel="0" collapsed="false">
      <c r="A22" s="14" t="s">
        <v>179</v>
      </c>
      <c r="B22" s="14" t="s">
        <v>156</v>
      </c>
    </row>
    <row r="23" customFormat="false" ht="15" hidden="false" customHeight="false" outlineLevel="0" collapsed="false">
      <c r="A23" s="14" t="s">
        <v>177</v>
      </c>
      <c r="B23" s="14" t="s">
        <v>156</v>
      </c>
    </row>
    <row r="24" customFormat="false" ht="15" hidden="false" customHeight="false" outlineLevel="0" collapsed="false">
      <c r="A24" s="14" t="s">
        <v>294</v>
      </c>
      <c r="B24" s="14" t="s">
        <v>131</v>
      </c>
    </row>
    <row r="25" customFormat="false" ht="15" hidden="false" customHeight="false" outlineLevel="0" collapsed="false">
      <c r="A25" s="14" t="s">
        <v>221</v>
      </c>
      <c r="B25" s="14" t="s">
        <v>156</v>
      </c>
    </row>
    <row r="26" customFormat="false" ht="15" hidden="false" customHeight="false" outlineLevel="0" collapsed="false">
      <c r="A26" s="14" t="s">
        <v>314</v>
      </c>
      <c r="B26" s="14" t="s">
        <v>3</v>
      </c>
    </row>
    <row r="27" customFormat="false" ht="15" hidden="false" customHeight="false" outlineLevel="0" collapsed="false">
      <c r="A27" s="14" t="s">
        <v>163</v>
      </c>
      <c r="B27" s="14" t="s">
        <v>156</v>
      </c>
    </row>
    <row r="28" customFormat="false" ht="15" hidden="false" customHeight="false" outlineLevel="0" collapsed="false">
      <c r="A28" s="14" t="s">
        <v>286</v>
      </c>
      <c r="B28" s="14" t="s">
        <v>3</v>
      </c>
    </row>
    <row r="29" customFormat="false" ht="15" hidden="false" customHeight="false" outlineLevel="0" collapsed="false">
      <c r="A29" s="14" t="s">
        <v>315</v>
      </c>
      <c r="B29" s="14" t="s">
        <v>166</v>
      </c>
    </row>
    <row r="30" customFormat="false" ht="15" hidden="false" customHeight="false" outlineLevel="0" collapsed="false">
      <c r="A30" s="14" t="s">
        <v>241</v>
      </c>
      <c r="B30" s="14" t="s">
        <v>166</v>
      </c>
    </row>
    <row r="31" customFormat="false" ht="15" hidden="false" customHeight="false" outlineLevel="0" collapsed="false">
      <c r="A31" s="14" t="s">
        <v>230</v>
      </c>
      <c r="B31" s="14" t="s">
        <v>3</v>
      </c>
    </row>
    <row r="32" customFormat="false" ht="15" hidden="false" customHeight="false" outlineLevel="0" collapsed="false">
      <c r="A32" s="14" t="s">
        <v>185</v>
      </c>
      <c r="B32" s="14" t="s">
        <v>166</v>
      </c>
    </row>
    <row r="33" customFormat="false" ht="15" hidden="false" customHeight="false" outlineLevel="0" collapsed="false">
      <c r="A33" s="14" t="s">
        <v>149</v>
      </c>
      <c r="B33" s="14" t="s">
        <v>131</v>
      </c>
    </row>
    <row r="34" customFormat="false" ht="15" hidden="false" customHeight="false" outlineLevel="0" collapsed="false">
      <c r="A34" s="14" t="s">
        <v>316</v>
      </c>
      <c r="B34" s="14" t="s">
        <v>156</v>
      </c>
    </row>
    <row r="35" customFormat="false" ht="15" hidden="false" customHeight="false" outlineLevel="0" collapsed="false">
      <c r="A35" s="14" t="s">
        <v>213</v>
      </c>
      <c r="B35" s="14" t="s">
        <v>166</v>
      </c>
    </row>
    <row r="36" customFormat="false" ht="15" hidden="false" customHeight="false" outlineLevel="0" collapsed="false">
      <c r="A36" s="14" t="s">
        <v>228</v>
      </c>
      <c r="B36" s="14" t="s">
        <v>156</v>
      </c>
    </row>
    <row r="37" customFormat="false" ht="15" hidden="false" customHeight="false" outlineLevel="0" collapsed="false">
      <c r="A37" s="14" t="s">
        <v>204</v>
      </c>
      <c r="B37" s="14" t="s">
        <v>3</v>
      </c>
    </row>
    <row r="38" customFormat="false" ht="15" hidden="false" customHeight="false" outlineLevel="0" collapsed="false">
      <c r="A38" s="14" t="s">
        <v>165</v>
      </c>
      <c r="B38" s="14" t="s">
        <v>166</v>
      </c>
    </row>
    <row r="39" customFormat="false" ht="15" hidden="false" customHeight="false" outlineLevel="0" collapsed="false">
      <c r="A39" s="14" t="s">
        <v>288</v>
      </c>
      <c r="B39" s="14" t="s">
        <v>166</v>
      </c>
    </row>
    <row r="40" customFormat="false" ht="15" hidden="false" customHeight="false" outlineLevel="0" collapsed="false">
      <c r="A40" s="14" t="s">
        <v>200</v>
      </c>
      <c r="B40" s="14" t="s">
        <v>131</v>
      </c>
    </row>
    <row r="41" customFormat="false" ht="15" hidden="false" customHeight="false" outlineLevel="0" collapsed="false">
      <c r="A41" s="14" t="s">
        <v>317</v>
      </c>
      <c r="B41" s="14" t="s">
        <v>156</v>
      </c>
    </row>
    <row r="42" customFormat="false" ht="15" hidden="false" customHeight="false" outlineLevel="0" collapsed="false">
      <c r="A42" s="14" t="s">
        <v>195</v>
      </c>
      <c r="B42" s="14" t="s">
        <v>131</v>
      </c>
    </row>
    <row r="43" customFormat="false" ht="15" hidden="false" customHeight="false" outlineLevel="0" collapsed="false">
      <c r="A43" s="14" t="s">
        <v>155</v>
      </c>
      <c r="B43" s="14" t="s">
        <v>156</v>
      </c>
    </row>
    <row r="44" customFormat="false" ht="15" hidden="false" customHeight="false" outlineLevel="0" collapsed="false">
      <c r="A44" s="14" t="s">
        <v>160</v>
      </c>
      <c r="B44" s="14" t="s">
        <v>3</v>
      </c>
    </row>
    <row r="45" customFormat="false" ht="15" hidden="false" customHeight="false" outlineLevel="0" collapsed="false">
      <c r="A45" s="14" t="s">
        <v>318</v>
      </c>
      <c r="B45" s="14" t="s">
        <v>166</v>
      </c>
    </row>
    <row r="46" customFormat="false" ht="15" hidden="false" customHeight="false" outlineLevel="0" collapsed="false">
      <c r="A46" s="14" t="s">
        <v>192</v>
      </c>
      <c r="B46" s="14" t="s">
        <v>131</v>
      </c>
    </row>
    <row r="47" customFormat="false" ht="15" hidden="false" customHeight="false" outlineLevel="0" collapsed="false">
      <c r="A47" s="14" t="s">
        <v>152</v>
      </c>
      <c r="B47" s="14" t="s">
        <v>3</v>
      </c>
    </row>
    <row r="48" customFormat="false" ht="15" hidden="false" customHeight="false" outlineLevel="0" collapsed="false">
      <c r="A48" s="14" t="s">
        <v>319</v>
      </c>
      <c r="B48" s="14" t="s">
        <v>166</v>
      </c>
    </row>
    <row r="49" customFormat="false" ht="15" hidden="false" customHeight="false" outlineLevel="0" collapsed="false">
      <c r="A49" s="14" t="s">
        <v>158</v>
      </c>
      <c r="B49" s="14" t="s">
        <v>156</v>
      </c>
    </row>
    <row r="50" customFormat="false" ht="15" hidden="false" customHeight="false" outlineLevel="0" collapsed="false">
      <c r="A50" s="14" t="s">
        <v>320</v>
      </c>
      <c r="B50" s="14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321</v>
      </c>
    </row>
    <row r="3" customFormat="false" ht="15" hidden="false" customHeight="false" outlineLevel="0" collapsed="false">
      <c r="A3" s="13" t="s">
        <v>322</v>
      </c>
      <c r="B3" s="13" t="s">
        <v>323</v>
      </c>
      <c r="C3" s="13" t="s">
        <v>324</v>
      </c>
    </row>
    <row r="4" customFormat="false" ht="15" hidden="false" customHeight="false" outlineLevel="0" collapsed="false">
      <c r="A4" s="20" t="s">
        <v>325</v>
      </c>
      <c r="B4" s="21" t="s">
        <v>326</v>
      </c>
      <c r="C4" s="21" t="s">
        <v>327</v>
      </c>
    </row>
    <row r="5" customFormat="false" ht="15" hidden="false" customHeight="false" outlineLevel="0" collapsed="false">
      <c r="A5" s="20" t="s">
        <v>328</v>
      </c>
      <c r="B5" s="21" t="s">
        <v>329</v>
      </c>
      <c r="C5" s="21" t="s">
        <v>330</v>
      </c>
    </row>
    <row r="6" customFormat="false" ht="26.85" hidden="false" customHeight="false" outlineLevel="0" collapsed="false">
      <c r="A6" s="20" t="s">
        <v>331</v>
      </c>
      <c r="B6" s="21" t="s">
        <v>332</v>
      </c>
      <c r="C6" s="21" t="s">
        <v>333</v>
      </c>
    </row>
    <row r="7" customFormat="false" ht="26.85" hidden="false" customHeight="false" outlineLevel="0" collapsed="false">
      <c r="A7" s="20" t="s">
        <v>334</v>
      </c>
      <c r="B7" s="21" t="s">
        <v>335</v>
      </c>
      <c r="C7" s="21" t="s">
        <v>336</v>
      </c>
    </row>
    <row r="8" customFormat="false" ht="26.85" hidden="false" customHeight="false" outlineLevel="0" collapsed="false">
      <c r="A8" s="20" t="s">
        <v>337</v>
      </c>
      <c r="B8" s="21" t="s">
        <v>338</v>
      </c>
      <c r="C8" s="21" t="s">
        <v>339</v>
      </c>
    </row>
    <row r="9" customFormat="false" ht="26.85" hidden="false" customHeight="false" outlineLevel="0" collapsed="false">
      <c r="A9" s="20" t="s">
        <v>340</v>
      </c>
      <c r="B9" s="21" t="s">
        <v>341</v>
      </c>
      <c r="C9" s="21" t="s">
        <v>342</v>
      </c>
    </row>
    <row r="10" customFormat="false" ht="15" hidden="false" customHeight="false" outlineLevel="0" collapsed="false">
      <c r="A10" s="20" t="s">
        <v>343</v>
      </c>
      <c r="B10" s="21" t="s">
        <v>344</v>
      </c>
      <c r="C10" s="21" t="s">
        <v>345</v>
      </c>
    </row>
    <row r="11" customFormat="false" ht="15" hidden="false" customHeight="false" outlineLevel="0" collapsed="false">
      <c r="A11" s="20" t="s">
        <v>346</v>
      </c>
      <c r="B11" s="21" t="s">
        <v>347</v>
      </c>
      <c r="C11" s="21" t="s">
        <v>348</v>
      </c>
    </row>
    <row r="12" customFormat="false" ht="15" hidden="false" customHeight="false" outlineLevel="0" collapsed="false">
      <c r="A12" s="20" t="s">
        <v>349</v>
      </c>
      <c r="B12" s="21" t="s">
        <v>350</v>
      </c>
      <c r="C12" s="21" t="s">
        <v>351</v>
      </c>
    </row>
    <row r="13" customFormat="false" ht="15" hidden="false" customHeight="false" outlineLevel="0" collapsed="false">
      <c r="A13" s="20" t="s">
        <v>352</v>
      </c>
      <c r="B13" s="21" t="s">
        <v>353</v>
      </c>
      <c r="C13" s="21" t="s">
        <v>354</v>
      </c>
    </row>
    <row r="14" customFormat="false" ht="26.85" hidden="false" customHeight="false" outlineLevel="0" collapsed="false">
      <c r="A14" s="20" t="s">
        <v>355</v>
      </c>
      <c r="B14" s="21" t="s">
        <v>356</v>
      </c>
      <c r="C14" s="21" t="s">
        <v>357</v>
      </c>
    </row>
    <row r="15" customFormat="false" ht="15" hidden="false" customHeight="false" outlineLevel="0" collapsed="false">
      <c r="A15" s="20" t="s">
        <v>358</v>
      </c>
      <c r="B15" s="21" t="s">
        <v>359</v>
      </c>
      <c r="C15" s="21" t="s">
        <v>360</v>
      </c>
    </row>
    <row r="16" customFormat="false" ht="15" hidden="false" customHeight="false" outlineLevel="0" collapsed="false">
      <c r="A16" s="20" t="s">
        <v>361</v>
      </c>
      <c r="B16" s="21" t="s">
        <v>362</v>
      </c>
      <c r="C16" s="21" t="s">
        <v>363</v>
      </c>
    </row>
    <row r="17" customFormat="false" ht="15" hidden="false" customHeight="false" outlineLevel="0" collapsed="false">
      <c r="A17" s="20" t="s">
        <v>364</v>
      </c>
      <c r="B17" s="21" t="s">
        <v>365</v>
      </c>
      <c r="C17" s="21" t="s">
        <v>366</v>
      </c>
    </row>
    <row r="18" customFormat="false" ht="15" hidden="false" customHeight="false" outlineLevel="0" collapsed="false">
      <c r="A18" s="20" t="s">
        <v>367</v>
      </c>
      <c r="B18" s="21" t="s">
        <v>368</v>
      </c>
      <c r="C18" s="21" t="s">
        <v>369</v>
      </c>
    </row>
    <row r="21" customFormat="false" ht="15" hidden="false" customHeight="false" outlineLevel="0" collapsed="false">
      <c r="A21" s="22" t="s">
        <v>370</v>
      </c>
    </row>
    <row r="22" customFormat="false" ht="26.85" hidden="false" customHeight="false" outlineLevel="0" collapsed="false">
      <c r="A22" s="23" t="s">
        <v>371</v>
      </c>
      <c r="B22" s="24" t="s">
        <v>372</v>
      </c>
    </row>
    <row r="23" customFormat="false" ht="39.55" hidden="false" customHeight="false" outlineLevel="0" collapsed="false">
      <c r="A23" s="23" t="s">
        <v>373</v>
      </c>
      <c r="B23" s="24" t="s">
        <v>374</v>
      </c>
    </row>
    <row r="24" customFormat="false" ht="26.85" hidden="false" customHeight="false" outlineLevel="0" collapsed="false">
      <c r="A24" s="23" t="s">
        <v>375</v>
      </c>
      <c r="B24" s="24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2026-10-25T13:02:39Z</dcterms:created>
  <dc:creator>openpyxl</dc:creator>
  <dc:description/>
  <dc:language>en-US</dc:language>
  <cp:lastModifiedBy/>
  <dcterms:modified xsi:type="dcterms:W3CDTF">2026-10-25T13:02:39Z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